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icular Complexity" sheetId="1" r:id="rId4"/>
    <sheet state="visible" name="Cost" sheetId="2" r:id="rId5"/>
    <sheet state="visible" name="Credit Hours" sheetId="3" r:id="rId6"/>
    <sheet state="visible" name="% Credit Hours" sheetId="4" r:id="rId7"/>
  </sheets>
  <definedNames/>
  <calcPr/>
  <extLst>
    <ext uri="GoogleSheetsCustomDataVersion2">
      <go:sheetsCustomData xmlns:go="http://customooxmlschemas.google.com/" r:id="rId8" roundtripDataChecksum="/u9RFbjOqYV5l2HgBo3+VBijMBkBnIzSBAsiBoPErt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ID#AAABc6mdgAo
    (2025-02-07 17:35:54)
SO CLOSE to being MassTransfer, but its not quite. If this AS added ONE course as an elective, it would be like 90%
	-Baylon, Ryan Baylon
----
120
	-Baylon, Ryan Baylon</t>
      </text>
    </comment>
    <comment authorId="0" ref="F1">
      <text>
        <t xml:space="preserve">======
ID#AAABc6mdgAg
    (2025-02-07 17:35:54)
double check first year seminar is waived
	-Baylon, Ryan Baylon</t>
      </text>
    </comment>
    <comment authorId="0" ref="H16">
      <text>
        <t xml:space="preserve">======
ID#AAABc6mdgAk
    (2025-02-07 17:35:54)
No listed prereqs grrrr
	-Baylon, Ryan Baylon</t>
      </text>
    </comment>
  </commentList>
  <extLst>
    <ext uri="GoogleSheetsCustomDataVersion2">
      <go:sheetsCustomData xmlns:go="http://customooxmlschemas.google.com/" r:id="rId1" roundtripDataSignature="AMtx7mgMKAqGSE+CkEr49a+25lhyExD6dg=="/>
    </ext>
  </extLst>
</comments>
</file>

<file path=xl/sharedStrings.xml><?xml version="1.0" encoding="utf-8"?>
<sst xmlns="http://schemas.openxmlformats.org/spreadsheetml/2006/main" count="142" uniqueCount="44">
  <si>
    <t>Bridgewater</t>
  </si>
  <si>
    <t>Fitchburg</t>
  </si>
  <si>
    <t>Framingham</t>
  </si>
  <si>
    <t>MCLA</t>
  </si>
  <si>
    <t>Salem</t>
  </si>
  <si>
    <t>UMass Amherst</t>
  </si>
  <si>
    <t>UMass Boston</t>
  </si>
  <si>
    <t>UMass Dartmouth</t>
  </si>
  <si>
    <t>UMass Lowell</t>
  </si>
  <si>
    <t>Westfield</t>
  </si>
  <si>
    <t>Worcester</t>
  </si>
  <si>
    <t>Resident</t>
  </si>
  <si>
    <t>Berkshire</t>
  </si>
  <si>
    <t>Bristol</t>
  </si>
  <si>
    <t>Bunker Hill</t>
  </si>
  <si>
    <t>Cape Cod</t>
  </si>
  <si>
    <t>Greenfield</t>
  </si>
  <si>
    <t>Holyoke</t>
  </si>
  <si>
    <t>Massasoit</t>
  </si>
  <si>
    <t>MassBay</t>
  </si>
  <si>
    <t>Middlesex</t>
  </si>
  <si>
    <t>Mount Wachusett</t>
  </si>
  <si>
    <t>North Shore</t>
  </si>
  <si>
    <t>Northern Essex</t>
  </si>
  <si>
    <t>Quinsigamond</t>
  </si>
  <si>
    <t>Roxbury</t>
  </si>
  <si>
    <t>Springfield Technical</t>
  </si>
  <si>
    <t>Max</t>
  </si>
  <si>
    <t>Upper Quartile</t>
  </si>
  <si>
    <t>Median</t>
  </si>
  <si>
    <t>Lower Quartile</t>
  </si>
  <si>
    <t>Min</t>
  </si>
  <si>
    <t xml:space="preserve"> </t>
  </si>
  <si>
    <t>Mapped</t>
  </si>
  <si>
    <t>Ready to Upload</t>
  </si>
  <si>
    <t>Havent Gotten To</t>
  </si>
  <si>
    <t>Have degree, not pair</t>
  </si>
  <si>
    <t>Cannot get degree</t>
  </si>
  <si>
    <t>Diff from Median</t>
  </si>
  <si>
    <t>Cost / Year</t>
  </si>
  <si>
    <t>Cost / Credit</t>
  </si>
  <si>
    <t>4ys avg</t>
  </si>
  <si>
    <t>transfer avg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</si>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</sst>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%"/>
  </numFmts>
  <fonts count="2">
    <font>
      <sz val="10.0"/>
      <color rgb="FF000000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Font="1"/>
    <xf borderId="0" fillId="2" fontId="1" numFmtId="3" xfId="0" applyFill="1" applyFont="1" applyNumberFormat="1"/>
    <xf borderId="0" fillId="0" fontId="1" numFmtId="3" xfId="0" applyFont="1" applyNumberFormat="1"/>
    <xf borderId="0" fillId="3" fontId="1" numFmtId="0" xfId="0" applyAlignment="1" applyFill="1" applyFont="1">
      <alignment shrinkToFit="0" vertical="bottom" wrapText="0"/>
    </xf>
    <xf borderId="0" fillId="4" fontId="1" numFmtId="3" xfId="0" applyFill="1" applyFont="1" applyNumberFormat="1"/>
    <xf borderId="0" fillId="2" fontId="1" numFmtId="3" xfId="0" applyAlignment="1" applyFont="1" applyNumberFormat="1">
      <alignment readingOrder="0"/>
    </xf>
    <xf borderId="0" fillId="5" fontId="1" numFmtId="0" xfId="0" applyFill="1" applyFont="1"/>
    <xf borderId="0" fillId="5" fontId="1" numFmtId="3" xfId="0" applyFont="1" applyNumberFormat="1"/>
    <xf borderId="0" fillId="5" fontId="1" numFmtId="0" xfId="0" applyAlignment="1" applyFont="1">
      <alignment shrinkToFit="0" wrapText="1"/>
    </xf>
    <xf borderId="0" fillId="2" fontId="1" numFmtId="0" xfId="0" applyFont="1"/>
    <xf borderId="0" fillId="6" fontId="1" numFmtId="0" xfId="0" applyFill="1" applyFont="1"/>
    <xf borderId="0" fillId="7" fontId="1" numFmtId="0" xfId="0" applyFill="1" applyFont="1"/>
    <xf borderId="0" fillId="4" fontId="1" numFmtId="0" xfId="0" applyFont="1"/>
    <xf borderId="0" fillId="3" fontId="1" numFmtId="0" xfId="0" applyFont="1"/>
    <xf borderId="0" fillId="0" fontId="1" numFmtId="4" xfId="0" applyFont="1" applyNumberFormat="1"/>
    <xf borderId="0" fillId="0" fontId="1" numFmtId="164" xfId="0" applyFont="1" applyNumberFormat="1"/>
    <xf borderId="0" fillId="5" fontId="1" numFmtId="4" xfId="0" applyFont="1" applyNumberFormat="1"/>
    <xf borderId="0" fillId="0" fontId="1" numFmtId="165" xfId="0" applyFont="1" applyNumberFormat="1"/>
    <xf borderId="0" fillId="2" fontId="1" numFmtId="165" xfId="0" applyFont="1" applyNumberFormat="1"/>
    <xf borderId="0" fillId="5" fontId="1" numFmtId="9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6.13"/>
    <col customWidth="1" min="2" max="6" width="12.63"/>
  </cols>
  <sheetData>
    <row r="1" ht="15.75" customHeight="1"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ht="15.75" customHeight="1">
      <c r="A2" s="2" t="s">
        <v>11</v>
      </c>
      <c r="B2" s="3">
        <v>160.0</v>
      </c>
      <c r="C2" s="3">
        <v>138.0</v>
      </c>
      <c r="D2" s="3">
        <v>139.0</v>
      </c>
      <c r="E2" s="3">
        <v>160.0</v>
      </c>
      <c r="F2" s="3">
        <v>157.0</v>
      </c>
      <c r="G2" s="3">
        <v>185.0</v>
      </c>
      <c r="H2" s="3">
        <v>169.0</v>
      </c>
      <c r="I2" s="3">
        <v>202.0</v>
      </c>
      <c r="J2" s="3">
        <v>143.0</v>
      </c>
      <c r="K2" s="3">
        <v>150.0</v>
      </c>
      <c r="L2" s="3">
        <v>105.0</v>
      </c>
    </row>
    <row r="3" ht="15.75" customHeight="1">
      <c r="A3" s="1" t="s">
        <v>12</v>
      </c>
      <c r="B3" s="4"/>
      <c r="C3" s="4"/>
      <c r="E3" s="3">
        <v>210.0</v>
      </c>
      <c r="F3" s="4"/>
      <c r="G3" s="4"/>
      <c r="H3" s="4"/>
      <c r="I3" s="4"/>
      <c r="J3" s="4"/>
      <c r="K3" s="3">
        <v>197.0</v>
      </c>
      <c r="L3" s="4"/>
    </row>
    <row r="4" ht="15.75" customHeight="1">
      <c r="A4" s="1" t="s">
        <v>13</v>
      </c>
      <c r="B4" s="3">
        <v>165.0</v>
      </c>
      <c r="C4" s="4"/>
      <c r="E4" s="4"/>
      <c r="F4" s="4"/>
      <c r="G4" s="4"/>
      <c r="H4" s="3">
        <v>170.0</v>
      </c>
      <c r="I4" s="3">
        <v>170.0</v>
      </c>
      <c r="J4" s="4"/>
      <c r="K4" s="4"/>
      <c r="L4" s="4"/>
    </row>
    <row r="5" ht="15.75" customHeight="1">
      <c r="A5" s="1" t="s">
        <v>14</v>
      </c>
      <c r="B5" s="3">
        <v>180.0</v>
      </c>
      <c r="C5" s="3">
        <v>179.0</v>
      </c>
      <c r="D5" s="3">
        <v>181.0</v>
      </c>
      <c r="E5" s="4"/>
      <c r="F5" s="3">
        <v>164.0</v>
      </c>
      <c r="G5" s="4"/>
      <c r="H5" s="3">
        <v>192.0</v>
      </c>
      <c r="I5" s="4"/>
      <c r="J5" s="3">
        <v>169.0</v>
      </c>
      <c r="K5" s="4"/>
      <c r="L5" s="4"/>
    </row>
    <row r="6" ht="15.75" customHeight="1">
      <c r="A6" s="1" t="s">
        <v>15</v>
      </c>
      <c r="B6" s="3">
        <v>113.0</v>
      </c>
      <c r="C6" s="4"/>
      <c r="E6" s="4"/>
      <c r="F6" s="4"/>
      <c r="G6" s="4"/>
      <c r="H6" s="4"/>
      <c r="I6" s="3">
        <v>183.0</v>
      </c>
      <c r="J6" s="4"/>
      <c r="K6" s="4"/>
      <c r="L6" s="4"/>
    </row>
    <row r="7" ht="15.75" customHeight="1">
      <c r="A7" s="1" t="s">
        <v>16</v>
      </c>
      <c r="B7" s="4"/>
      <c r="C7" s="4"/>
      <c r="E7" s="3">
        <v>218.0</v>
      </c>
      <c r="F7" s="4"/>
      <c r="G7" s="3">
        <v>191.0</v>
      </c>
      <c r="H7" s="4"/>
      <c r="I7" s="4"/>
      <c r="J7" s="4"/>
      <c r="K7" s="3">
        <v>154.0</v>
      </c>
      <c r="L7" s="4"/>
    </row>
    <row r="8" ht="15.75" customHeight="1">
      <c r="A8" s="1" t="s">
        <v>17</v>
      </c>
      <c r="B8" s="4"/>
      <c r="C8" s="4"/>
      <c r="E8" s="4"/>
      <c r="F8" s="4"/>
      <c r="G8" s="3">
        <v>210.0</v>
      </c>
      <c r="H8" s="4"/>
      <c r="I8" s="4"/>
      <c r="J8" s="4"/>
      <c r="K8" s="3">
        <v>177.0</v>
      </c>
      <c r="L8" s="4"/>
    </row>
    <row r="9" ht="15.75" customHeight="1">
      <c r="A9" s="5" t="s">
        <v>18</v>
      </c>
      <c r="B9" s="6"/>
      <c r="C9" s="4"/>
      <c r="D9" s="6"/>
      <c r="E9" s="4"/>
      <c r="F9" s="6"/>
      <c r="G9" s="4"/>
      <c r="H9" s="6"/>
      <c r="I9" s="6"/>
      <c r="J9" s="4"/>
      <c r="K9" s="4"/>
      <c r="L9" s="4"/>
    </row>
    <row r="10" ht="15.75" customHeight="1">
      <c r="A10" s="1" t="s">
        <v>19</v>
      </c>
      <c r="B10" s="3">
        <v>108.0</v>
      </c>
      <c r="C10" s="3">
        <v>102.0</v>
      </c>
      <c r="D10" s="3">
        <v>186.0</v>
      </c>
      <c r="E10" s="4"/>
      <c r="F10" s="3">
        <v>140.0</v>
      </c>
      <c r="G10" s="4"/>
      <c r="H10" s="3">
        <v>181.0</v>
      </c>
      <c r="I10" s="4"/>
      <c r="J10" s="3">
        <v>157.0</v>
      </c>
      <c r="K10" s="4"/>
      <c r="L10" s="3">
        <v>104.0</v>
      </c>
    </row>
    <row r="11" ht="15.75" customHeight="1">
      <c r="A11" s="1" t="s">
        <v>20</v>
      </c>
      <c r="B11" s="4"/>
      <c r="C11" s="3">
        <v>122.0</v>
      </c>
      <c r="D11" s="3">
        <v>196.0</v>
      </c>
      <c r="E11" s="4"/>
      <c r="F11" s="3">
        <v>195.0</v>
      </c>
      <c r="G11" s="4"/>
      <c r="H11" s="3">
        <v>203.0</v>
      </c>
      <c r="I11" s="4"/>
      <c r="J11" s="3">
        <v>174.0</v>
      </c>
      <c r="K11" s="4"/>
      <c r="L11" s="3">
        <v>118.0</v>
      </c>
    </row>
    <row r="12" ht="15.75" customHeight="1">
      <c r="A12" s="1" t="s">
        <v>21</v>
      </c>
      <c r="B12" s="4"/>
      <c r="C12" s="3">
        <v>119.0</v>
      </c>
      <c r="D12" s="3">
        <v>182.0</v>
      </c>
      <c r="E12" s="4"/>
      <c r="F12" s="4"/>
      <c r="G12" s="4"/>
      <c r="H12" s="4"/>
      <c r="I12" s="4"/>
      <c r="J12" s="4"/>
      <c r="K12" s="4"/>
      <c r="L12" s="3">
        <v>128.0</v>
      </c>
    </row>
    <row r="13" ht="15.75" customHeight="1">
      <c r="A13" s="1" t="s">
        <v>22</v>
      </c>
      <c r="B13" s="3">
        <v>129.0</v>
      </c>
      <c r="C13" s="4"/>
      <c r="D13" s="3">
        <v>186.0</v>
      </c>
      <c r="E13" s="4"/>
      <c r="F13" s="3">
        <v>128.0</v>
      </c>
      <c r="G13" s="4"/>
      <c r="H13" s="3">
        <v>204.0</v>
      </c>
      <c r="I13" s="4"/>
      <c r="J13" s="3">
        <v>162.0</v>
      </c>
      <c r="K13" s="4"/>
      <c r="L13" s="4"/>
    </row>
    <row r="14" ht="15.75" customHeight="1">
      <c r="A14" s="1" t="s">
        <v>23</v>
      </c>
      <c r="B14" s="4"/>
      <c r="C14" s="4"/>
      <c r="E14" s="4"/>
      <c r="F14" s="3">
        <v>211.0</v>
      </c>
      <c r="G14" s="4"/>
      <c r="H14" s="3">
        <v>201.0</v>
      </c>
      <c r="I14" s="4"/>
      <c r="J14" s="3">
        <v>215.0</v>
      </c>
      <c r="K14" s="4"/>
      <c r="L14" s="4"/>
    </row>
    <row r="15" ht="15.75" customHeight="1">
      <c r="A15" s="1" t="s">
        <v>24</v>
      </c>
      <c r="B15" s="4"/>
      <c r="C15" s="3">
        <v>120.0</v>
      </c>
      <c r="D15" s="3">
        <v>179.0</v>
      </c>
      <c r="E15" s="4"/>
      <c r="F15" s="4"/>
      <c r="G15" s="4"/>
      <c r="H15" s="4"/>
      <c r="I15" s="4"/>
      <c r="J15" s="3">
        <v>159.0</v>
      </c>
      <c r="K15" s="4"/>
      <c r="L15" s="3">
        <v>96.0</v>
      </c>
    </row>
    <row r="16" ht="15.75" customHeight="1">
      <c r="A16" s="5" t="s">
        <v>25</v>
      </c>
      <c r="B16" s="6"/>
      <c r="C16" s="6"/>
      <c r="D16" s="6"/>
      <c r="E16" s="4"/>
      <c r="F16" s="6"/>
      <c r="G16" s="4"/>
      <c r="H16" s="6"/>
      <c r="I16" s="4"/>
      <c r="J16" s="6"/>
      <c r="K16" s="4"/>
      <c r="L16" s="6"/>
    </row>
    <row r="17" ht="15.75" customHeight="1">
      <c r="A17" s="1" t="s">
        <v>26</v>
      </c>
      <c r="B17" s="4"/>
      <c r="C17" s="4"/>
      <c r="E17" s="4"/>
      <c r="F17" s="4"/>
      <c r="G17" s="7">
        <v>157.0</v>
      </c>
      <c r="H17" s="4"/>
      <c r="I17" s="4"/>
      <c r="J17" s="4"/>
      <c r="K17" s="3">
        <v>180.0</v>
      </c>
      <c r="L17" s="3">
        <v>135.0</v>
      </c>
    </row>
    <row r="18" ht="15.75" customHeight="1">
      <c r="A18" s="8" t="s">
        <v>27</v>
      </c>
      <c r="B18" s="9">
        <f t="shared" ref="B18:L18" si="1">MAX(B3:B17)</f>
        <v>180</v>
      </c>
      <c r="C18" s="9">
        <f t="shared" si="1"/>
        <v>179</v>
      </c>
      <c r="D18" s="9">
        <f t="shared" si="1"/>
        <v>196</v>
      </c>
      <c r="E18" s="9">
        <f t="shared" si="1"/>
        <v>218</v>
      </c>
      <c r="F18" s="9">
        <f t="shared" si="1"/>
        <v>211</v>
      </c>
      <c r="G18" s="9">
        <f t="shared" si="1"/>
        <v>210</v>
      </c>
      <c r="H18" s="9">
        <f t="shared" si="1"/>
        <v>204</v>
      </c>
      <c r="I18" s="9">
        <f t="shared" si="1"/>
        <v>183</v>
      </c>
      <c r="J18" s="9">
        <f t="shared" si="1"/>
        <v>215</v>
      </c>
      <c r="K18" s="9">
        <f t="shared" si="1"/>
        <v>197</v>
      </c>
      <c r="L18" s="9">
        <f t="shared" si="1"/>
        <v>135</v>
      </c>
    </row>
    <row r="19" ht="15.75" customHeight="1">
      <c r="A19" s="10" t="s">
        <v>28</v>
      </c>
      <c r="B19" s="9">
        <f t="shared" ref="B19:L19" si="2">QUARTILE(B3:B17, 3)</f>
        <v>165</v>
      </c>
      <c r="C19" s="9">
        <f t="shared" si="2"/>
        <v>122</v>
      </c>
      <c r="D19" s="9">
        <f t="shared" si="2"/>
        <v>186</v>
      </c>
      <c r="E19" s="9">
        <f t="shared" si="2"/>
        <v>216</v>
      </c>
      <c r="F19" s="9">
        <f t="shared" si="2"/>
        <v>195</v>
      </c>
      <c r="G19" s="9">
        <f t="shared" si="2"/>
        <v>200.5</v>
      </c>
      <c r="H19" s="9">
        <f t="shared" si="2"/>
        <v>202.5</v>
      </c>
      <c r="I19" s="9">
        <f t="shared" si="2"/>
        <v>179.75</v>
      </c>
      <c r="J19" s="9">
        <f t="shared" si="2"/>
        <v>172.75</v>
      </c>
      <c r="K19" s="9">
        <f t="shared" si="2"/>
        <v>184.25</v>
      </c>
      <c r="L19" s="9">
        <f t="shared" si="2"/>
        <v>128</v>
      </c>
    </row>
    <row r="20" ht="15.75" customHeight="1">
      <c r="A20" s="8" t="s">
        <v>29</v>
      </c>
      <c r="B20" s="9">
        <f t="shared" ref="B20:L20" si="3">MEDIAN(B3:B17)</f>
        <v>129</v>
      </c>
      <c r="C20" s="9">
        <f t="shared" si="3"/>
        <v>120</v>
      </c>
      <c r="D20" s="9">
        <f t="shared" si="3"/>
        <v>184</v>
      </c>
      <c r="E20" s="9">
        <f t="shared" si="3"/>
        <v>214</v>
      </c>
      <c r="F20" s="9">
        <f t="shared" si="3"/>
        <v>164</v>
      </c>
      <c r="G20" s="9">
        <f t="shared" si="3"/>
        <v>191</v>
      </c>
      <c r="H20" s="9">
        <f t="shared" si="3"/>
        <v>196.5</v>
      </c>
      <c r="I20" s="9">
        <f t="shared" si="3"/>
        <v>176.5</v>
      </c>
      <c r="J20" s="9">
        <f t="shared" si="3"/>
        <v>165.5</v>
      </c>
      <c r="K20" s="9">
        <f t="shared" si="3"/>
        <v>178.5</v>
      </c>
      <c r="L20" s="9">
        <f t="shared" si="3"/>
        <v>118</v>
      </c>
    </row>
    <row r="21" ht="15.75" customHeight="1">
      <c r="A21" s="8" t="s">
        <v>30</v>
      </c>
      <c r="B21" s="9">
        <f t="shared" ref="B21:L21" si="4">QUARTILE(B3:B17, 1)</f>
        <v>113</v>
      </c>
      <c r="C21" s="9">
        <f t="shared" si="4"/>
        <v>119</v>
      </c>
      <c r="D21" s="9">
        <f t="shared" si="4"/>
        <v>181.25</v>
      </c>
      <c r="E21" s="9">
        <f t="shared" si="4"/>
        <v>212</v>
      </c>
      <c r="F21" s="9">
        <f t="shared" si="4"/>
        <v>140</v>
      </c>
      <c r="G21" s="9">
        <f t="shared" si="4"/>
        <v>174</v>
      </c>
      <c r="H21" s="9">
        <f t="shared" si="4"/>
        <v>183.75</v>
      </c>
      <c r="I21" s="9">
        <f t="shared" si="4"/>
        <v>173.25</v>
      </c>
      <c r="J21" s="9">
        <f t="shared" si="4"/>
        <v>159.75</v>
      </c>
      <c r="K21" s="9">
        <f t="shared" si="4"/>
        <v>171.25</v>
      </c>
      <c r="L21" s="9">
        <f t="shared" si="4"/>
        <v>104</v>
      </c>
    </row>
    <row r="22" ht="15.75" customHeight="1">
      <c r="A22" s="8" t="s">
        <v>31</v>
      </c>
      <c r="B22" s="9">
        <f t="shared" ref="B22:L22" si="5">MIN(B7:B21)</f>
        <v>108</v>
      </c>
      <c r="C22" s="9">
        <f t="shared" si="5"/>
        <v>102</v>
      </c>
      <c r="D22" s="9">
        <f t="shared" si="5"/>
        <v>179</v>
      </c>
      <c r="E22" s="9">
        <f t="shared" si="5"/>
        <v>212</v>
      </c>
      <c r="F22" s="9">
        <f t="shared" si="5"/>
        <v>128</v>
      </c>
      <c r="G22" s="9">
        <f t="shared" si="5"/>
        <v>157</v>
      </c>
      <c r="H22" s="9">
        <f t="shared" si="5"/>
        <v>181</v>
      </c>
      <c r="I22" s="9">
        <f t="shared" si="5"/>
        <v>173.25</v>
      </c>
      <c r="J22" s="9">
        <f t="shared" si="5"/>
        <v>157</v>
      </c>
      <c r="K22" s="9">
        <f t="shared" si="5"/>
        <v>154</v>
      </c>
      <c r="L22" s="9">
        <f t="shared" si="5"/>
        <v>96</v>
      </c>
    </row>
    <row r="23" ht="15.75" customHeight="1">
      <c r="B23" s="4">
        <f t="shared" ref="B23:L23" si="6">B2-B20</f>
        <v>31</v>
      </c>
      <c r="C23" s="4">
        <f t="shared" si="6"/>
        <v>18</v>
      </c>
      <c r="D23" s="4">
        <f t="shared" si="6"/>
        <v>-45</v>
      </c>
      <c r="E23" s="4">
        <f t="shared" si="6"/>
        <v>-54</v>
      </c>
      <c r="F23" s="4">
        <f t="shared" si="6"/>
        <v>-7</v>
      </c>
      <c r="G23" s="4">
        <f t="shared" si="6"/>
        <v>-6</v>
      </c>
      <c r="H23" s="4">
        <f t="shared" si="6"/>
        <v>-27.5</v>
      </c>
      <c r="I23" s="4">
        <f t="shared" si="6"/>
        <v>25.5</v>
      </c>
      <c r="J23" s="4">
        <f t="shared" si="6"/>
        <v>-22.5</v>
      </c>
      <c r="K23" s="4">
        <f t="shared" si="6"/>
        <v>-28.5</v>
      </c>
      <c r="L23" s="4">
        <f t="shared" si="6"/>
        <v>-13</v>
      </c>
      <c r="M23" s="4">
        <f>MEDIAN(B23:L23)</f>
        <v>-13</v>
      </c>
    </row>
    <row r="24" ht="15.75" customHeight="1"/>
    <row r="25" ht="15.75" customHeight="1"/>
    <row r="26" ht="15.75" customHeight="1"/>
    <row r="27" ht="15.75" customHeight="1">
      <c r="G27" s="2" t="s">
        <v>32</v>
      </c>
    </row>
    <row r="28" ht="15.75" customHeight="1">
      <c r="A28" s="11" t="s">
        <v>33</v>
      </c>
      <c r="G28" s="2"/>
    </row>
    <row r="29" ht="15.75" customHeight="1">
      <c r="A29" s="12" t="s">
        <v>34</v>
      </c>
    </row>
    <row r="30" ht="15.75" customHeight="1">
      <c r="A30" s="13" t="s">
        <v>35</v>
      </c>
      <c r="B30" s="2"/>
    </row>
    <row r="31" ht="15.75" customHeight="1">
      <c r="A31" s="14" t="s">
        <v>36</v>
      </c>
    </row>
    <row r="32" ht="15.75" customHeight="1">
      <c r="A32" s="15" t="s">
        <v>37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ht="15.75" customHeight="1">
      <c r="A2" s="2" t="s">
        <v>11</v>
      </c>
      <c r="B2" s="3">
        <f>('Credit Hours'!B2 -120)* $B$23</f>
        <v>0</v>
      </c>
      <c r="C2" s="3">
        <f>('Credit Hours'!C2 -120)* $C$23</f>
        <v>0</v>
      </c>
      <c r="D2" s="3">
        <f>('Credit Hours'!D2 -120)* $D$23</f>
        <v>0</v>
      </c>
      <c r="E2" s="3">
        <f>('Credit Hours'!E2 -120)* $E$23</f>
        <v>0</v>
      </c>
      <c r="F2" s="3">
        <f>('Credit Hours'!F2 -120)* $F$23</f>
        <v>0</v>
      </c>
      <c r="G2" s="3">
        <f>('Credit Hours'!G2 -120)* $G$23</f>
        <v>0</v>
      </c>
      <c r="H2" s="3">
        <f>('Credit Hours'!H2 -120)* $H$23</f>
        <v>0</v>
      </c>
      <c r="I2" s="3">
        <f>('Credit Hours'!I2 -120)* $I$23</f>
        <v>0</v>
      </c>
      <c r="J2" s="3">
        <f>('Credit Hours'!J2 -120)* $J$23</f>
        <v>0</v>
      </c>
      <c r="K2" s="3">
        <f>('Credit Hours'!K2 -120)* $K$23</f>
        <v>0</v>
      </c>
      <c r="L2" s="3">
        <f>('Credit Hours'!L2 -120)* $L$23</f>
        <v>0</v>
      </c>
    </row>
    <row r="3" ht="15.75" customHeight="1">
      <c r="A3" s="1" t="s">
        <v>12</v>
      </c>
      <c r="B3" s="4"/>
      <c r="C3" s="4"/>
      <c r="E3" s="3">
        <f>('Credit Hours'!E3 -120)* $E$23</f>
        <v>13201.5</v>
      </c>
      <c r="F3" s="4"/>
      <c r="G3" s="4"/>
      <c r="H3" s="4"/>
      <c r="I3" s="4"/>
      <c r="J3" s="4"/>
      <c r="K3" s="3">
        <f>('Credit Hours'!K3 -120)* $K$23</f>
        <v>15970.16667</v>
      </c>
      <c r="L3" s="4"/>
    </row>
    <row r="4" ht="15.75" customHeight="1">
      <c r="A4" s="1" t="s">
        <v>13</v>
      </c>
      <c r="B4" s="3">
        <f>('Credit Hours'!B4 -120)* $B$23</f>
        <v>0</v>
      </c>
      <c r="C4" s="4"/>
      <c r="E4" s="4"/>
      <c r="F4" s="4"/>
      <c r="G4" s="4"/>
      <c r="H4" s="3">
        <f>('Credit Hours'!H4 -120)* $H$23</f>
        <v>18085.16667</v>
      </c>
      <c r="I4" s="3">
        <f>('Credit Hours'!I4 -120)* $I$23</f>
        <v>0</v>
      </c>
      <c r="J4" s="4"/>
      <c r="K4" s="4"/>
      <c r="L4" s="4"/>
    </row>
    <row r="5" ht="15.75" customHeight="1">
      <c r="A5" s="1" t="s">
        <v>14</v>
      </c>
      <c r="B5" s="3">
        <f>('Credit Hours'!B5 -120)* $B$23</f>
        <v>14178.58333</v>
      </c>
      <c r="C5" s="3">
        <f>('Credit Hours'!C5 -120)* $C$23</f>
        <v>2836.5</v>
      </c>
      <c r="D5" s="3">
        <f>('Credit Hours'!D5 -120)* $D$23</f>
        <v>17383.33333</v>
      </c>
      <c r="E5" s="4"/>
      <c r="F5" s="3">
        <f>('Credit Hours'!F5 -120)* $F$23</f>
        <v>4626.9</v>
      </c>
      <c r="G5" s="4"/>
      <c r="H5" s="3">
        <f>('Credit Hours'!H5 -120)* $H$23</f>
        <v>4173.5</v>
      </c>
      <c r="I5" s="4"/>
      <c r="J5" s="3">
        <f>('Credit Hours'!J5 -120)* $J$23</f>
        <v>2827.666667</v>
      </c>
      <c r="K5" s="4"/>
      <c r="L5" s="4"/>
    </row>
    <row r="6" ht="15.75" customHeight="1">
      <c r="A6" s="1" t="s">
        <v>15</v>
      </c>
      <c r="B6" s="3">
        <f>('Credit Hours'!B6 -120)* $B$23</f>
        <v>0</v>
      </c>
      <c r="C6" s="4"/>
      <c r="E6" s="4"/>
      <c r="F6" s="4"/>
      <c r="G6" s="4"/>
      <c r="H6" s="4"/>
      <c r="I6" s="3">
        <f>('Credit Hours'!I6 -120)* $I$23</f>
        <v>0</v>
      </c>
      <c r="J6" s="4"/>
      <c r="K6" s="4"/>
      <c r="L6" s="4"/>
    </row>
    <row r="7" ht="15.75" customHeight="1">
      <c r="A7" s="1" t="s">
        <v>16</v>
      </c>
      <c r="B7" s="4"/>
      <c r="C7" s="4"/>
      <c r="E7" s="3">
        <f>('Credit Hours'!E7 -120)* $E$23</f>
        <v>13709.25</v>
      </c>
      <c r="F7" s="4"/>
      <c r="G7" s="3">
        <f>('Credit Hours'!G7 -120)* $G$23</f>
        <v>0</v>
      </c>
      <c r="H7" s="4"/>
      <c r="I7" s="4"/>
      <c r="J7" s="4"/>
      <c r="K7" s="3">
        <f>('Credit Hours'!K7 -120)* $K$23</f>
        <v>7212.333333</v>
      </c>
      <c r="L7" s="4"/>
    </row>
    <row r="8" ht="15.75" customHeight="1">
      <c r="A8" s="1" t="s">
        <v>17</v>
      </c>
      <c r="B8" s="4"/>
      <c r="C8" s="4"/>
      <c r="E8" s="4"/>
      <c r="F8" s="4"/>
      <c r="G8" s="3">
        <f>('Credit Hours'!G8 -120)* $G$23</f>
        <v>0</v>
      </c>
      <c r="H8" s="4"/>
      <c r="I8" s="4"/>
      <c r="J8" s="4"/>
      <c r="K8" s="3">
        <f>('Credit Hours'!K8 -120)* $K$23</f>
        <v>12364</v>
      </c>
      <c r="L8" s="4"/>
    </row>
    <row r="9" ht="15.75" customHeight="1">
      <c r="A9" s="1" t="s">
        <v>18</v>
      </c>
      <c r="B9" s="3">
        <f>('Credit Hours'!B9 -120)* $B$23</f>
        <v>0</v>
      </c>
      <c r="C9" s="4"/>
      <c r="D9" s="3">
        <f>('Credit Hours'!D9 -120)* $D$23</f>
        <v>11920</v>
      </c>
      <c r="E9" s="4"/>
      <c r="F9" s="3">
        <f>('Credit Hours'!F9 -120)* $F$23</f>
        <v>3598.7</v>
      </c>
      <c r="G9" s="4"/>
      <c r="H9" s="3">
        <f>('Credit Hours'!H9 -120)* $H$23</f>
        <v>14607.25</v>
      </c>
      <c r="I9" s="3">
        <f>('Credit Hours'!I9 -120)* $I$23</f>
        <v>0</v>
      </c>
      <c r="J9" s="4"/>
      <c r="K9" s="4"/>
      <c r="L9" s="4"/>
    </row>
    <row r="10" ht="15.75" customHeight="1">
      <c r="A10" s="1" t="s">
        <v>19</v>
      </c>
      <c r="B10" s="3">
        <f>('Credit Hours'!B10 -120)* $B$23</f>
        <v>0</v>
      </c>
      <c r="C10" s="3">
        <f>('Credit Hours'!C10 -120)* $C$23</f>
        <v>0</v>
      </c>
      <c r="D10" s="3">
        <f>('Credit Hours'!D10 -120)* $D$23</f>
        <v>20860</v>
      </c>
      <c r="E10" s="4"/>
      <c r="F10" s="3">
        <f>('Credit Hours'!F10 -120)* $F$23</f>
        <v>2570.5</v>
      </c>
      <c r="G10" s="4"/>
      <c r="H10" s="3">
        <f>('Credit Hours'!H10 -120)* $H$23</f>
        <v>4869.083333</v>
      </c>
      <c r="I10" s="4"/>
      <c r="J10" s="3">
        <f>('Credit Hours'!J10 -120)* $J$23</f>
        <v>3534.583333</v>
      </c>
      <c r="K10" s="4"/>
      <c r="L10" s="3">
        <f>('Credit Hours'!L10 -120)* $L$23</f>
        <v>3928.666667</v>
      </c>
    </row>
    <row r="11" ht="15.75" customHeight="1">
      <c r="A11" s="1" t="s">
        <v>20</v>
      </c>
      <c r="B11" s="4"/>
      <c r="C11" s="3">
        <f>('Credit Hours'!C11 -120)* $C$23</f>
        <v>0</v>
      </c>
      <c r="D11" s="3">
        <f>('Credit Hours'!D11 -120)* $D$23</f>
        <v>19370</v>
      </c>
      <c r="E11" s="4"/>
      <c r="F11" s="3">
        <f>('Credit Hours'!F11 -120)* $F$23</f>
        <v>11310.2</v>
      </c>
      <c r="G11" s="4"/>
      <c r="H11" s="3">
        <f>('Credit Hours'!H11 -120)* $H$23</f>
        <v>15302.83333</v>
      </c>
      <c r="I11" s="4"/>
      <c r="J11" s="3">
        <f>('Credit Hours'!J11 -120)* $J$23</f>
        <v>1413.833333</v>
      </c>
      <c r="K11" s="4"/>
      <c r="L11" s="3">
        <f>('Credit Hours'!L11 -120)* $L$23</f>
        <v>3437.583333</v>
      </c>
    </row>
    <row r="12" ht="15.75" customHeight="1">
      <c r="A12" s="1" t="s">
        <v>21</v>
      </c>
      <c r="B12" s="4"/>
      <c r="C12" s="3">
        <f>('Credit Hours'!C12 -120)* $C$23</f>
        <v>0</v>
      </c>
      <c r="D12" s="3">
        <f>('Credit Hours'!D12 -120)* $D$23</f>
        <v>16390</v>
      </c>
      <c r="E12" s="4"/>
      <c r="F12" s="4"/>
      <c r="G12" s="4"/>
      <c r="H12" s="4"/>
      <c r="I12" s="4"/>
      <c r="J12" s="4"/>
      <c r="K12" s="4"/>
      <c r="L12" s="3">
        <f>('Credit Hours'!L12 -120)* $L$23</f>
        <v>5893</v>
      </c>
    </row>
    <row r="13" ht="15.75" customHeight="1">
      <c r="A13" s="1" t="s">
        <v>22</v>
      </c>
      <c r="B13" s="3">
        <f>('Credit Hours'!B13 -120)* $B$23</f>
        <v>0</v>
      </c>
      <c r="C13" s="4"/>
      <c r="D13" s="3">
        <f>('Credit Hours'!D13 -120)* $D$23</f>
        <v>16886.66667</v>
      </c>
      <c r="E13" s="4"/>
      <c r="F13" s="3">
        <f>('Credit Hours'!F13 -120)* $F$23</f>
        <v>3084.6</v>
      </c>
      <c r="G13" s="4"/>
      <c r="H13" s="3">
        <f>('Credit Hours'!H13 -120)* $H$23</f>
        <v>16694</v>
      </c>
      <c r="I13" s="4"/>
      <c r="J13" s="3">
        <f>('Credit Hours'!J13 -120)* $J$23</f>
        <v>4241.5</v>
      </c>
      <c r="K13" s="4"/>
      <c r="L13" s="4"/>
    </row>
    <row r="14" ht="15.75" customHeight="1">
      <c r="A14" s="1" t="s">
        <v>23</v>
      </c>
      <c r="B14" s="4"/>
      <c r="C14" s="4"/>
      <c r="E14" s="4"/>
      <c r="F14" s="3">
        <f>('Credit Hours'!F14 -120)* $F$23</f>
        <v>5655.1</v>
      </c>
      <c r="G14" s="4"/>
      <c r="H14" s="3">
        <f>('Credit Hours'!H14 -120)* $H$23</f>
        <v>24345.41667</v>
      </c>
      <c r="I14" s="4"/>
      <c r="J14" s="3">
        <f>('Credit Hours'!J14 -120)* $J$23</f>
        <v>15552.16667</v>
      </c>
      <c r="K14" s="4"/>
      <c r="L14" s="4"/>
    </row>
    <row r="15" ht="15.75" customHeight="1">
      <c r="A15" s="1" t="s">
        <v>24</v>
      </c>
      <c r="B15" s="4"/>
      <c r="C15" s="3">
        <f>('Credit Hours'!C15 -120)* $C$23</f>
        <v>0</v>
      </c>
      <c r="D15" s="3">
        <f>('Credit Hours'!D15 -120)* $D$23</f>
        <v>12913.33333</v>
      </c>
      <c r="E15" s="4"/>
      <c r="F15" s="4"/>
      <c r="G15" s="4"/>
      <c r="H15" s="4"/>
      <c r="I15" s="4"/>
      <c r="J15" s="3">
        <f>('Credit Hours'!J15 -120)* $J$23</f>
        <v>1413.833333</v>
      </c>
      <c r="K15" s="4"/>
      <c r="L15" s="3">
        <f>('Credit Hours'!L15 -120)* $L$23</f>
        <v>0</v>
      </c>
    </row>
    <row r="16" ht="15.75" customHeight="1">
      <c r="A16" s="1" t="s">
        <v>25</v>
      </c>
      <c r="B16" s="3">
        <f>('Credit Hours'!B16 -120)* $B$23</f>
        <v>17112.08333</v>
      </c>
      <c r="C16" s="3">
        <f>('Credit Hours'!C16 -120)* $C$23</f>
        <v>14182.5</v>
      </c>
      <c r="D16" s="3">
        <f>('Credit Hours'!D16 -120)* $D$23</f>
        <v>18873.33333</v>
      </c>
      <c r="E16" s="4"/>
      <c r="F16" s="3">
        <f>('Credit Hours'!F16 -120)* $F$23</f>
        <v>16451.2</v>
      </c>
      <c r="G16" s="4"/>
      <c r="H16" s="3">
        <f>('Credit Hours'!H16 -120)* $H$23</f>
        <v>27127.75</v>
      </c>
      <c r="I16" s="4"/>
      <c r="J16" s="3">
        <f>('Credit Hours'!J16 -120)* $J$23</f>
        <v>22621.33333</v>
      </c>
      <c r="K16" s="4"/>
      <c r="L16" s="3">
        <f>('Credit Hours'!L16 -120)* $L$23</f>
        <v>12277.08333</v>
      </c>
    </row>
    <row r="17" ht="15.75" customHeight="1">
      <c r="A17" s="1" t="s">
        <v>26</v>
      </c>
      <c r="B17" s="4"/>
      <c r="C17" s="4"/>
      <c r="E17" s="4"/>
      <c r="F17" s="4"/>
      <c r="G17" s="3">
        <f>('Credit Hours'!G17 -120)* $G$23</f>
        <v>0</v>
      </c>
      <c r="H17" s="4"/>
      <c r="I17" s="4"/>
      <c r="J17" s="4"/>
      <c r="K17" s="3">
        <f>('Credit Hours'!K17 -120)* $K$23</f>
        <v>7212.333333</v>
      </c>
      <c r="L17" s="3">
        <f>('Credit Hours'!L17 -120)* $L$23</f>
        <v>5893</v>
      </c>
    </row>
    <row r="18" ht="15.75" customHeight="1">
      <c r="A18" s="8" t="s">
        <v>29</v>
      </c>
      <c r="B18" s="9">
        <f t="shared" ref="B18:L18" si="1">MEDIAN(B3:B17)</f>
        <v>0</v>
      </c>
      <c r="C18" s="9">
        <f t="shared" si="1"/>
        <v>0</v>
      </c>
      <c r="D18" s="9">
        <f t="shared" si="1"/>
        <v>17135</v>
      </c>
      <c r="E18" s="9">
        <f t="shared" si="1"/>
        <v>13455.375</v>
      </c>
      <c r="F18" s="9">
        <f t="shared" si="1"/>
        <v>4626.9</v>
      </c>
      <c r="G18" s="9">
        <f t="shared" si="1"/>
        <v>0</v>
      </c>
      <c r="H18" s="9">
        <f t="shared" si="1"/>
        <v>15998.41667</v>
      </c>
      <c r="I18" s="9">
        <f t="shared" si="1"/>
        <v>0</v>
      </c>
      <c r="J18" s="9">
        <f t="shared" si="1"/>
        <v>3534.583333</v>
      </c>
      <c r="K18" s="9">
        <f t="shared" si="1"/>
        <v>9788.166667</v>
      </c>
      <c r="L18" s="9">
        <f t="shared" si="1"/>
        <v>4910.833333</v>
      </c>
    </row>
    <row r="19" ht="15.75" customHeight="1">
      <c r="A19" s="8" t="s">
        <v>38</v>
      </c>
      <c r="B19" s="9">
        <f t="shared" ref="B19:L19" si="2">B18-B2</f>
        <v>0</v>
      </c>
      <c r="C19" s="9">
        <f t="shared" si="2"/>
        <v>0</v>
      </c>
      <c r="D19" s="9">
        <f t="shared" si="2"/>
        <v>17135</v>
      </c>
      <c r="E19" s="9">
        <f t="shared" si="2"/>
        <v>13455.375</v>
      </c>
      <c r="F19" s="9">
        <f t="shared" si="2"/>
        <v>4626.9</v>
      </c>
      <c r="G19" s="9">
        <f t="shared" si="2"/>
        <v>0</v>
      </c>
      <c r="H19" s="9">
        <f t="shared" si="2"/>
        <v>15998.41667</v>
      </c>
      <c r="I19" s="9">
        <f t="shared" si="2"/>
        <v>0</v>
      </c>
      <c r="J19" s="9">
        <f t="shared" si="2"/>
        <v>3534.583333</v>
      </c>
      <c r="K19" s="9">
        <f t="shared" si="2"/>
        <v>9788.166667</v>
      </c>
      <c r="L19" s="9">
        <f t="shared" si="2"/>
        <v>4910.833333</v>
      </c>
    </row>
    <row r="20" ht="15.75" customHeight="1"/>
    <row r="21" ht="15.75" customHeight="1"/>
    <row r="22" ht="15.75" customHeight="1">
      <c r="A22" s="2" t="s">
        <v>39</v>
      </c>
      <c r="B22" s="4">
        <v>11734.0</v>
      </c>
      <c r="C22" s="4">
        <v>11346.0</v>
      </c>
      <c r="D22" s="4">
        <v>11920.0</v>
      </c>
      <c r="E22" s="2">
        <f>1030+11156</f>
        <v>12186</v>
      </c>
      <c r="F22" s="16">
        <v>12338.4</v>
      </c>
      <c r="G22" s="4">
        <v>17772.0</v>
      </c>
      <c r="H22" s="16">
        <v>16694.0</v>
      </c>
      <c r="I22" s="4">
        <v>15612.0</v>
      </c>
      <c r="J22" s="2">
        <f>16246+720</f>
        <v>16966</v>
      </c>
      <c r="K22" s="4">
        <v>12364.0</v>
      </c>
      <c r="L22" s="16">
        <v>11786.0</v>
      </c>
    </row>
    <row r="23" ht="15.75" customHeight="1">
      <c r="A23" s="2" t="s">
        <v>40</v>
      </c>
      <c r="B23" s="17">
        <f t="shared" ref="B23:L23" si="3">B22/24</f>
        <v>488.9166667</v>
      </c>
      <c r="C23" s="17">
        <f t="shared" si="3"/>
        <v>472.75</v>
      </c>
      <c r="D23" s="17">
        <f t="shared" si="3"/>
        <v>496.6666667</v>
      </c>
      <c r="E23" s="17">
        <f t="shared" si="3"/>
        <v>507.75</v>
      </c>
      <c r="F23" s="17">
        <f t="shared" si="3"/>
        <v>514.1</v>
      </c>
      <c r="G23" s="17">
        <f t="shared" si="3"/>
        <v>740.5</v>
      </c>
      <c r="H23" s="17">
        <f t="shared" si="3"/>
        <v>695.5833333</v>
      </c>
      <c r="I23" s="17">
        <f t="shared" si="3"/>
        <v>650.5</v>
      </c>
      <c r="J23" s="17">
        <f t="shared" si="3"/>
        <v>706.9166667</v>
      </c>
      <c r="K23" s="17">
        <f t="shared" si="3"/>
        <v>515.1666667</v>
      </c>
      <c r="L23" s="17">
        <f t="shared" si="3"/>
        <v>491.0833333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7.5"/>
    <col customWidth="1" min="2" max="2" width="17.63"/>
    <col customWidth="1" min="3" max="3" width="15.75"/>
    <col customWidth="1" min="4" max="4" width="18.13"/>
    <col customWidth="1" min="5" max="5" width="13.38"/>
    <col customWidth="1" min="6" max="6" width="13.5"/>
    <col customWidth="1" min="7" max="7" width="20.63"/>
    <col customWidth="1" min="8" max="8" width="19.63"/>
    <col customWidth="1" min="9" max="9" width="22.13"/>
    <col customWidth="1" min="10" max="10" width="19.13"/>
    <col customWidth="1" min="11" max="11" width="15.63"/>
    <col customWidth="1" min="12" max="12" width="16.25"/>
  </cols>
  <sheetData>
    <row r="1" ht="15.75" customHeight="1"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ht="15.75" customHeight="1">
      <c r="A2" s="2" t="s">
        <v>11</v>
      </c>
      <c r="B2" s="3">
        <v>120.0</v>
      </c>
      <c r="C2" s="3">
        <v>120.0</v>
      </c>
      <c r="D2" s="3">
        <v>120.0</v>
      </c>
      <c r="E2" s="3">
        <v>120.0</v>
      </c>
      <c r="F2" s="3">
        <v>120.0</v>
      </c>
      <c r="G2" s="3">
        <v>120.0</v>
      </c>
      <c r="H2" s="3">
        <v>120.0</v>
      </c>
      <c r="I2" s="3">
        <v>120.0</v>
      </c>
      <c r="J2" s="3">
        <v>120.0</v>
      </c>
      <c r="K2" s="3">
        <v>120.0</v>
      </c>
      <c r="L2" s="3">
        <v>120.0</v>
      </c>
    </row>
    <row r="3" ht="15.75" customHeight="1">
      <c r="A3" s="1" t="s">
        <v>12</v>
      </c>
      <c r="B3" s="4"/>
      <c r="C3" s="4"/>
      <c r="E3" s="3">
        <v>146.0</v>
      </c>
      <c r="F3" s="4"/>
      <c r="G3" s="4"/>
      <c r="H3" s="4"/>
      <c r="I3" s="4"/>
      <c r="J3" s="4"/>
      <c r="K3" s="3">
        <v>151.0</v>
      </c>
      <c r="L3" s="4"/>
    </row>
    <row r="4" ht="15.75" customHeight="1">
      <c r="A4" s="1" t="s">
        <v>13</v>
      </c>
      <c r="B4" s="7">
        <v>120.0</v>
      </c>
      <c r="C4" s="4"/>
      <c r="E4" s="4"/>
      <c r="F4" s="4"/>
      <c r="G4" s="4"/>
      <c r="H4" s="3">
        <v>146.0</v>
      </c>
      <c r="I4" s="7">
        <v>120.0</v>
      </c>
      <c r="J4" s="4"/>
      <c r="K4" s="4"/>
      <c r="L4" s="4"/>
    </row>
    <row r="5" ht="15.75" customHeight="1">
      <c r="A5" s="1" t="s">
        <v>14</v>
      </c>
      <c r="B5" s="3">
        <v>149.0</v>
      </c>
      <c r="C5" s="3">
        <v>126.0</v>
      </c>
      <c r="D5" s="11">
        <v>155.0</v>
      </c>
      <c r="E5" s="4"/>
      <c r="F5" s="3">
        <v>129.0</v>
      </c>
      <c r="G5" s="4"/>
      <c r="H5" s="3">
        <v>126.0</v>
      </c>
      <c r="I5" s="4"/>
      <c r="J5" s="3">
        <v>124.0</v>
      </c>
      <c r="K5" s="4"/>
      <c r="L5" s="4"/>
    </row>
    <row r="6" ht="15.75" customHeight="1">
      <c r="A6" s="1" t="s">
        <v>15</v>
      </c>
      <c r="B6" s="7">
        <v>120.0</v>
      </c>
      <c r="C6" s="4"/>
      <c r="E6" s="4"/>
      <c r="F6" s="4"/>
      <c r="G6" s="4"/>
      <c r="H6" s="4"/>
      <c r="I6" s="7">
        <v>120.0</v>
      </c>
      <c r="J6" s="4"/>
      <c r="K6" s="4"/>
      <c r="L6" s="4"/>
    </row>
    <row r="7" ht="15.75" customHeight="1">
      <c r="A7" s="1" t="s">
        <v>16</v>
      </c>
      <c r="B7" s="4"/>
      <c r="C7" s="4"/>
      <c r="E7" s="3">
        <v>147.0</v>
      </c>
      <c r="F7" s="4"/>
      <c r="G7" s="7">
        <v>120.0</v>
      </c>
      <c r="H7" s="4"/>
      <c r="I7" s="4"/>
      <c r="J7" s="4"/>
      <c r="K7" s="3">
        <v>134.0</v>
      </c>
      <c r="L7" s="4"/>
      <c r="N7" s="8" t="s">
        <v>41</v>
      </c>
      <c r="O7" s="8" t="s">
        <v>42</v>
      </c>
    </row>
    <row r="8" ht="15.75" customHeight="1">
      <c r="A8" s="1" t="s">
        <v>17</v>
      </c>
      <c r="B8" s="4"/>
      <c r="C8" s="4"/>
      <c r="E8" s="4"/>
      <c r="F8" s="4"/>
      <c r="G8" s="7">
        <v>120.0</v>
      </c>
      <c r="H8" s="4"/>
      <c r="I8" s="4"/>
      <c r="J8" s="4"/>
      <c r="K8" s="3">
        <v>144.0</v>
      </c>
      <c r="L8" s="4"/>
      <c r="M8" s="8" t="s">
        <v>43</v>
      </c>
      <c r="N8" s="18">
        <f>SUM(B2:L2) / COUNT(B2:L2)</f>
        <v>120</v>
      </c>
      <c r="O8" s="18">
        <f>SUM(B3:L17) / COUNT(B3:L17)</f>
        <v>135.0163934</v>
      </c>
    </row>
    <row r="9" ht="15.75" customHeight="1">
      <c r="A9" s="1" t="s">
        <v>18</v>
      </c>
      <c r="B9" s="7">
        <v>120.0</v>
      </c>
      <c r="C9" s="4"/>
      <c r="D9" s="11">
        <v>144.0</v>
      </c>
      <c r="E9" s="4"/>
      <c r="F9" s="3">
        <v>127.0</v>
      </c>
      <c r="G9" s="4"/>
      <c r="H9" s="3">
        <v>141.0</v>
      </c>
      <c r="I9" s="7">
        <v>120.0</v>
      </c>
      <c r="J9" s="4"/>
      <c r="K9" s="4"/>
      <c r="L9" s="4"/>
      <c r="M9" s="8" t="s">
        <v>29</v>
      </c>
      <c r="N9" s="9">
        <f>MEDIAN(B2:M2)</f>
        <v>120</v>
      </c>
      <c r="O9" s="9">
        <f>MEDIAN(B3:L17)</f>
        <v>131</v>
      </c>
    </row>
    <row r="10" ht="15.75" customHeight="1">
      <c r="A10" s="1" t="s">
        <v>19</v>
      </c>
      <c r="B10" s="7">
        <v>120.0</v>
      </c>
      <c r="C10" s="3">
        <v>120.0</v>
      </c>
      <c r="D10" s="11">
        <v>162.0</v>
      </c>
      <c r="E10" s="4"/>
      <c r="F10" s="3">
        <v>125.0</v>
      </c>
      <c r="G10" s="4"/>
      <c r="H10" s="3">
        <v>127.0</v>
      </c>
      <c r="I10" s="4"/>
      <c r="J10" s="3">
        <v>125.0</v>
      </c>
      <c r="K10" s="4"/>
      <c r="L10" s="3">
        <v>128.0</v>
      </c>
    </row>
    <row r="11" ht="15.75" customHeight="1">
      <c r="A11" s="1" t="s">
        <v>20</v>
      </c>
      <c r="B11" s="4"/>
      <c r="C11" s="3">
        <v>120.0</v>
      </c>
      <c r="D11" s="11">
        <v>159.0</v>
      </c>
      <c r="E11" s="4"/>
      <c r="F11" s="3">
        <v>142.0</v>
      </c>
      <c r="G11" s="4"/>
      <c r="H11" s="3">
        <v>142.0</v>
      </c>
      <c r="I11" s="4"/>
      <c r="J11" s="3">
        <v>122.0</v>
      </c>
      <c r="K11" s="4"/>
      <c r="L11" s="11">
        <v>127.0</v>
      </c>
    </row>
    <row r="12" ht="15.75" customHeight="1">
      <c r="A12" s="1" t="s">
        <v>21</v>
      </c>
      <c r="B12" s="4"/>
      <c r="C12" s="7">
        <v>120.0</v>
      </c>
      <c r="D12" s="11">
        <v>153.0</v>
      </c>
      <c r="E12" s="4"/>
      <c r="F12" s="4"/>
      <c r="G12" s="4"/>
      <c r="H12" s="4"/>
      <c r="I12" s="4"/>
      <c r="J12" s="4"/>
      <c r="K12" s="4"/>
      <c r="L12" s="3">
        <v>132.0</v>
      </c>
    </row>
    <row r="13" ht="15.75" customHeight="1">
      <c r="A13" s="1" t="s">
        <v>22</v>
      </c>
      <c r="B13" s="7">
        <v>120.0</v>
      </c>
      <c r="C13" s="4"/>
      <c r="D13" s="11">
        <v>154.0</v>
      </c>
      <c r="E13" s="4"/>
      <c r="F13" s="3">
        <v>126.0</v>
      </c>
      <c r="G13" s="4"/>
      <c r="H13" s="3">
        <v>144.0</v>
      </c>
      <c r="I13" s="4"/>
      <c r="J13" s="3">
        <v>126.0</v>
      </c>
      <c r="K13" s="4"/>
      <c r="L13" s="4"/>
    </row>
    <row r="14" ht="15.75" customHeight="1">
      <c r="A14" s="1" t="s">
        <v>23</v>
      </c>
      <c r="B14" s="4"/>
      <c r="C14" s="4"/>
      <c r="E14" s="4"/>
      <c r="F14" s="3">
        <v>131.0</v>
      </c>
      <c r="G14" s="4"/>
      <c r="H14" s="3">
        <v>155.0</v>
      </c>
      <c r="I14" s="4"/>
      <c r="J14" s="3">
        <v>142.0</v>
      </c>
      <c r="K14" s="4"/>
      <c r="L14" s="4"/>
    </row>
    <row r="15" ht="15.75" customHeight="1">
      <c r="A15" s="1" t="s">
        <v>24</v>
      </c>
      <c r="B15" s="4"/>
      <c r="C15" s="3">
        <v>120.0</v>
      </c>
      <c r="D15" s="11">
        <v>146.0</v>
      </c>
      <c r="E15" s="4"/>
      <c r="F15" s="4"/>
      <c r="G15" s="4"/>
      <c r="H15" s="4"/>
      <c r="I15" s="4"/>
      <c r="J15" s="3">
        <v>122.0</v>
      </c>
      <c r="K15" s="4"/>
      <c r="L15" s="11">
        <v>120.0</v>
      </c>
    </row>
    <row r="16" ht="15.75" customHeight="1">
      <c r="A16" s="1" t="s">
        <v>25</v>
      </c>
      <c r="B16" s="3">
        <v>155.0</v>
      </c>
      <c r="C16" s="3">
        <v>150.0</v>
      </c>
      <c r="D16" s="11">
        <v>158.0</v>
      </c>
      <c r="E16" s="4"/>
      <c r="F16" s="3">
        <v>152.0</v>
      </c>
      <c r="G16" s="4"/>
      <c r="H16" s="3">
        <v>159.0</v>
      </c>
      <c r="I16" s="4"/>
      <c r="J16" s="3">
        <v>152.0</v>
      </c>
      <c r="K16" s="4"/>
      <c r="L16" s="3">
        <v>145.0</v>
      </c>
    </row>
    <row r="17" ht="15.75" customHeight="1">
      <c r="A17" s="1" t="s">
        <v>26</v>
      </c>
      <c r="B17" s="4"/>
      <c r="C17" s="4"/>
      <c r="E17" s="4"/>
      <c r="F17" s="4"/>
      <c r="G17" s="7">
        <v>120.0</v>
      </c>
      <c r="H17" s="4"/>
      <c r="I17" s="4"/>
      <c r="J17" s="4"/>
      <c r="K17" s="3">
        <v>134.0</v>
      </c>
      <c r="L17" s="3">
        <v>132.0</v>
      </c>
    </row>
    <row r="18" ht="15.75" customHeight="1">
      <c r="A18" s="8" t="s">
        <v>27</v>
      </c>
      <c r="B18" s="9">
        <f t="shared" ref="B18:L18" si="1">MAX(B3:B17)</f>
        <v>155</v>
      </c>
      <c r="C18" s="9">
        <f t="shared" si="1"/>
        <v>150</v>
      </c>
      <c r="D18" s="9">
        <f t="shared" si="1"/>
        <v>162</v>
      </c>
      <c r="E18" s="9">
        <f t="shared" si="1"/>
        <v>147</v>
      </c>
      <c r="F18" s="9">
        <f t="shared" si="1"/>
        <v>152</v>
      </c>
      <c r="G18" s="9">
        <f t="shared" si="1"/>
        <v>120</v>
      </c>
      <c r="H18" s="9">
        <f t="shared" si="1"/>
        <v>159</v>
      </c>
      <c r="I18" s="9">
        <f t="shared" si="1"/>
        <v>120</v>
      </c>
      <c r="J18" s="9">
        <f t="shared" si="1"/>
        <v>152</v>
      </c>
      <c r="K18" s="9">
        <f t="shared" si="1"/>
        <v>151</v>
      </c>
      <c r="L18" s="9">
        <f t="shared" si="1"/>
        <v>145</v>
      </c>
    </row>
    <row r="19" ht="15.75" customHeight="1">
      <c r="A19" s="10" t="s">
        <v>28</v>
      </c>
      <c r="B19" s="9">
        <f t="shared" ref="B19:L19" si="2">QUARTILE(B3:B17, 3)</f>
        <v>134.5</v>
      </c>
      <c r="C19" s="9">
        <f t="shared" si="2"/>
        <v>124.5</v>
      </c>
      <c r="D19" s="9">
        <f t="shared" si="2"/>
        <v>158.25</v>
      </c>
      <c r="E19" s="9">
        <f t="shared" si="2"/>
        <v>146.75</v>
      </c>
      <c r="F19" s="9">
        <f t="shared" si="2"/>
        <v>136.5</v>
      </c>
      <c r="G19" s="9">
        <f t="shared" si="2"/>
        <v>120</v>
      </c>
      <c r="H19" s="9">
        <f t="shared" si="2"/>
        <v>148.25</v>
      </c>
      <c r="I19" s="9">
        <f t="shared" si="2"/>
        <v>120</v>
      </c>
      <c r="J19" s="9">
        <f t="shared" si="2"/>
        <v>134</v>
      </c>
      <c r="K19" s="9">
        <f t="shared" si="2"/>
        <v>145.75</v>
      </c>
      <c r="L19" s="9">
        <f t="shared" si="2"/>
        <v>132</v>
      </c>
    </row>
    <row r="20" ht="15.75" customHeight="1">
      <c r="A20" s="8" t="s">
        <v>29</v>
      </c>
      <c r="B20" s="9">
        <f t="shared" ref="B20:L20" si="3">MEDIAN(B3:B17)</f>
        <v>120</v>
      </c>
      <c r="C20" s="9">
        <f t="shared" si="3"/>
        <v>120</v>
      </c>
      <c r="D20" s="9">
        <f t="shared" si="3"/>
        <v>154.5</v>
      </c>
      <c r="E20" s="9">
        <f t="shared" si="3"/>
        <v>146.5</v>
      </c>
      <c r="F20" s="9">
        <f t="shared" si="3"/>
        <v>129</v>
      </c>
      <c r="G20" s="9">
        <f t="shared" si="3"/>
        <v>120</v>
      </c>
      <c r="H20" s="9">
        <f t="shared" si="3"/>
        <v>143</v>
      </c>
      <c r="I20" s="9">
        <f t="shared" si="3"/>
        <v>120</v>
      </c>
      <c r="J20" s="9">
        <f t="shared" si="3"/>
        <v>125</v>
      </c>
      <c r="K20" s="9">
        <f t="shared" si="3"/>
        <v>139</v>
      </c>
      <c r="L20" s="9">
        <f t="shared" si="3"/>
        <v>130</v>
      </c>
      <c r="M20" s="4">
        <f>MEDIAN(B20:L20)</f>
        <v>129</v>
      </c>
    </row>
    <row r="21" ht="15.75" customHeight="1">
      <c r="A21" s="8" t="s">
        <v>30</v>
      </c>
      <c r="B21" s="9">
        <f t="shared" ref="B21:L21" si="4">QUARTILE(B3:B17, 1)</f>
        <v>120</v>
      </c>
      <c r="C21" s="9">
        <f t="shared" si="4"/>
        <v>120</v>
      </c>
      <c r="D21" s="9">
        <f t="shared" si="4"/>
        <v>151.25</v>
      </c>
      <c r="E21" s="9">
        <f t="shared" si="4"/>
        <v>146.25</v>
      </c>
      <c r="F21" s="9">
        <f t="shared" si="4"/>
        <v>126.5</v>
      </c>
      <c r="G21" s="9">
        <f t="shared" si="4"/>
        <v>120</v>
      </c>
      <c r="H21" s="9">
        <f t="shared" si="4"/>
        <v>137.5</v>
      </c>
      <c r="I21" s="9">
        <f t="shared" si="4"/>
        <v>120</v>
      </c>
      <c r="J21" s="9">
        <f t="shared" si="4"/>
        <v>123</v>
      </c>
      <c r="K21" s="9">
        <f t="shared" si="4"/>
        <v>134</v>
      </c>
      <c r="L21" s="9">
        <f t="shared" si="4"/>
        <v>127.25</v>
      </c>
    </row>
    <row r="22" ht="15.75" customHeight="1">
      <c r="A22" s="8" t="s">
        <v>31</v>
      </c>
      <c r="B22" s="9">
        <f t="shared" ref="B22:L22" si="5">MIN(B7:B21)</f>
        <v>120</v>
      </c>
      <c r="C22" s="9">
        <f t="shared" si="5"/>
        <v>120</v>
      </c>
      <c r="D22" s="9">
        <f t="shared" si="5"/>
        <v>144</v>
      </c>
      <c r="E22" s="9">
        <f t="shared" si="5"/>
        <v>146.25</v>
      </c>
      <c r="F22" s="9">
        <f t="shared" si="5"/>
        <v>125</v>
      </c>
      <c r="G22" s="9">
        <f t="shared" si="5"/>
        <v>120</v>
      </c>
      <c r="H22" s="9">
        <f t="shared" si="5"/>
        <v>127</v>
      </c>
      <c r="I22" s="9">
        <f t="shared" si="5"/>
        <v>120</v>
      </c>
      <c r="J22" s="9">
        <f t="shared" si="5"/>
        <v>122</v>
      </c>
      <c r="K22" s="9">
        <f t="shared" si="5"/>
        <v>134</v>
      </c>
      <c r="L22" s="9">
        <f t="shared" si="5"/>
        <v>120</v>
      </c>
    </row>
    <row r="23" ht="15.75" customHeight="1">
      <c r="B23" s="4">
        <f t="shared" ref="B23:L23" si="6">B20-B2</f>
        <v>0</v>
      </c>
      <c r="C23" s="4">
        <f t="shared" si="6"/>
        <v>0</v>
      </c>
      <c r="D23" s="4">
        <f t="shared" si="6"/>
        <v>34.5</v>
      </c>
      <c r="E23" s="4">
        <f t="shared" si="6"/>
        <v>26.5</v>
      </c>
      <c r="F23" s="4">
        <f t="shared" si="6"/>
        <v>9</v>
      </c>
      <c r="G23" s="4">
        <f t="shared" si="6"/>
        <v>0</v>
      </c>
      <c r="H23" s="4">
        <f t="shared" si="6"/>
        <v>23</v>
      </c>
      <c r="I23" s="4">
        <f t="shared" si="6"/>
        <v>0</v>
      </c>
      <c r="J23" s="4">
        <f t="shared" si="6"/>
        <v>5</v>
      </c>
      <c r="K23" s="4">
        <f t="shared" si="6"/>
        <v>19</v>
      </c>
      <c r="L23" s="4">
        <f t="shared" si="6"/>
        <v>10</v>
      </c>
      <c r="M23" s="4">
        <f>MEDIAN(B23:L23)</f>
        <v>9</v>
      </c>
    </row>
    <row r="24" ht="15.75" customHeight="1"/>
    <row r="25" ht="15.75" customHeight="1">
      <c r="A25" s="11" t="s">
        <v>33</v>
      </c>
    </row>
    <row r="26" ht="15.75" customHeight="1">
      <c r="A26" s="12" t="s">
        <v>34</v>
      </c>
    </row>
    <row r="27" ht="15.75" customHeight="1">
      <c r="A27" s="13" t="s">
        <v>35</v>
      </c>
    </row>
    <row r="28" ht="15.75" customHeight="1">
      <c r="A28" s="14" t="s">
        <v>36</v>
      </c>
    </row>
    <row r="29" ht="15.75" customHeight="1">
      <c r="A29" s="15" t="s">
        <v>37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9.0"/>
    <col customWidth="1" min="2" max="2" width="14.38"/>
    <col customWidth="1" min="3" max="3" width="12.63"/>
    <col customWidth="1" min="4" max="4" width="14.88"/>
    <col customWidth="1" min="5" max="6" width="12.63"/>
    <col customWidth="1" min="7" max="7" width="17.38"/>
    <col customWidth="1" min="8" max="8" width="16.38"/>
    <col customWidth="1" min="9" max="9" width="18.88"/>
    <col customWidth="1" min="10" max="10" width="15.88"/>
    <col customWidth="1" min="12" max="12" width="13.0"/>
  </cols>
  <sheetData>
    <row r="1" ht="15.75" customHeight="1"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9"/>
    </row>
    <row r="2" ht="15.75" customHeight="1">
      <c r="A2" s="2" t="s">
        <v>11</v>
      </c>
      <c r="B2" s="20">
        <v>1.0</v>
      </c>
      <c r="C2" s="20">
        <v>1.0</v>
      </c>
      <c r="D2" s="20">
        <v>1.0</v>
      </c>
      <c r="E2" s="20">
        <v>1.0</v>
      </c>
      <c r="F2" s="20">
        <v>1.0</v>
      </c>
      <c r="G2" s="20">
        <v>1.0</v>
      </c>
      <c r="H2" s="20">
        <v>1.0</v>
      </c>
      <c r="I2" s="20">
        <v>1.0</v>
      </c>
      <c r="J2" s="20">
        <v>1.0</v>
      </c>
      <c r="K2" s="20">
        <v>1.0</v>
      </c>
      <c r="L2" s="20">
        <v>1.0</v>
      </c>
      <c r="M2" s="19"/>
      <c r="N2" s="19"/>
      <c r="O2" s="19"/>
    </row>
    <row r="3" ht="15.75" customHeight="1">
      <c r="A3" s="1" t="s">
        <v>12</v>
      </c>
      <c r="B3" s="19"/>
      <c r="C3" s="19"/>
      <c r="E3" s="20">
        <f>25/65</f>
        <v>0.3846153846</v>
      </c>
      <c r="F3" s="19"/>
      <c r="G3" s="19"/>
      <c r="H3" s="19"/>
      <c r="I3" s="19"/>
      <c r="J3" s="19"/>
      <c r="K3" s="20">
        <f>28/65</f>
        <v>0.4307692308</v>
      </c>
      <c r="L3" s="19"/>
      <c r="M3" s="19"/>
      <c r="N3" s="19"/>
      <c r="O3" s="19"/>
      <c r="P3" s="19"/>
      <c r="Q3" s="19"/>
      <c r="R3" s="19"/>
    </row>
    <row r="4" ht="15.75" customHeight="1">
      <c r="A4" s="1" t="s">
        <v>13</v>
      </c>
      <c r="B4" s="20">
        <f>62/69</f>
        <v>0.8985507246</v>
      </c>
      <c r="C4" s="19"/>
      <c r="E4" s="19"/>
      <c r="F4" s="19"/>
      <c r="G4" s="19"/>
      <c r="H4" s="20">
        <f>40/69</f>
        <v>0.5797101449</v>
      </c>
      <c r="I4" s="20">
        <f>62/69</f>
        <v>0.8985507246</v>
      </c>
      <c r="J4" s="19"/>
      <c r="K4" s="19"/>
      <c r="L4" s="19"/>
      <c r="M4" s="19"/>
      <c r="N4" s="19"/>
      <c r="O4" s="19"/>
      <c r="P4" s="19"/>
      <c r="Q4" s="19"/>
      <c r="R4" s="19"/>
    </row>
    <row r="5" ht="15.75" customHeight="1">
      <c r="A5" s="1" t="s">
        <v>14</v>
      </c>
      <c r="B5" s="20">
        <f>31/61</f>
        <v>0.5081967213</v>
      </c>
      <c r="C5" s="20">
        <f>50/61</f>
        <v>0.8196721311</v>
      </c>
      <c r="D5" s="20">
        <f>17/61</f>
        <v>0.2786885246</v>
      </c>
      <c r="E5" s="19"/>
      <c r="F5" s="20">
        <f>43/61</f>
        <v>0.7049180328</v>
      </c>
      <c r="G5" s="19"/>
      <c r="H5" s="20">
        <f>31/61</f>
        <v>0.5081967213</v>
      </c>
      <c r="I5" s="19"/>
      <c r="J5" s="20">
        <f>61/61</f>
        <v>1</v>
      </c>
      <c r="K5" s="19"/>
      <c r="L5" s="19"/>
      <c r="M5" s="19"/>
      <c r="N5" s="19"/>
      <c r="O5" s="19"/>
      <c r="P5" s="19"/>
      <c r="Q5" s="19"/>
      <c r="R5" s="19"/>
    </row>
    <row r="6" ht="15.75" customHeight="1">
      <c r="A6" s="1" t="s">
        <v>15</v>
      </c>
      <c r="B6" s="20">
        <f>60/69</f>
        <v>0.8695652174</v>
      </c>
      <c r="C6" s="19"/>
      <c r="E6" s="19"/>
      <c r="F6" s="19"/>
      <c r="G6" s="19"/>
      <c r="H6" s="19"/>
      <c r="I6" s="20">
        <f>62/69</f>
        <v>0.8985507246</v>
      </c>
      <c r="J6" s="19"/>
      <c r="K6" s="19"/>
      <c r="L6" s="19"/>
      <c r="M6" s="19"/>
      <c r="N6" s="19"/>
      <c r="O6" s="19"/>
      <c r="P6" s="19"/>
      <c r="Q6" s="19"/>
      <c r="R6" s="19"/>
    </row>
    <row r="7" ht="15.75" customHeight="1">
      <c r="A7" s="1" t="s">
        <v>16</v>
      </c>
      <c r="B7" s="19"/>
      <c r="C7" s="19"/>
      <c r="E7" s="20">
        <f>23/62</f>
        <v>0.3709677419</v>
      </c>
      <c r="F7" s="19"/>
      <c r="G7" s="20">
        <f>60/62</f>
        <v>0.9677419355</v>
      </c>
      <c r="H7" s="19"/>
      <c r="I7" s="19"/>
      <c r="J7" s="19"/>
      <c r="K7" s="20">
        <f>43/62</f>
        <v>0.6935483871</v>
      </c>
      <c r="L7" s="19"/>
      <c r="M7" s="19"/>
      <c r="N7" s="19"/>
      <c r="O7" s="19"/>
      <c r="P7" s="19"/>
      <c r="Q7" s="19"/>
      <c r="R7" s="19"/>
    </row>
    <row r="8" ht="15.75" customHeight="1">
      <c r="A8" s="1" t="s">
        <v>17</v>
      </c>
      <c r="B8" s="19"/>
      <c r="C8" s="19"/>
      <c r="E8" s="19"/>
      <c r="F8" s="19"/>
      <c r="G8" s="20">
        <f>31/64</f>
        <v>0.484375</v>
      </c>
      <c r="H8" s="19"/>
      <c r="I8" s="19"/>
      <c r="J8" s="19"/>
      <c r="K8" s="20">
        <f>35/64</f>
        <v>0.546875</v>
      </c>
      <c r="L8" s="19"/>
      <c r="M8" s="19"/>
      <c r="N8" s="19"/>
      <c r="O8" s="19"/>
      <c r="P8" s="19"/>
      <c r="Q8" s="19"/>
      <c r="R8" s="19"/>
    </row>
    <row r="9" ht="15.75" customHeight="1">
      <c r="A9" s="1" t="s">
        <v>18</v>
      </c>
      <c r="B9" s="20">
        <f>65/65</f>
        <v>1</v>
      </c>
      <c r="C9" s="19"/>
      <c r="D9" s="20">
        <f>36/65</f>
        <v>0.5538461538</v>
      </c>
      <c r="E9" s="19"/>
      <c r="F9" s="20">
        <f>46/65</f>
        <v>0.7076923077</v>
      </c>
      <c r="G9" s="19"/>
      <c r="H9" s="20">
        <f>40/65</f>
        <v>0.6153846154</v>
      </c>
      <c r="I9" s="20">
        <f>62/65</f>
        <v>0.9538461538</v>
      </c>
      <c r="J9" s="19"/>
      <c r="K9" s="19"/>
      <c r="L9" s="19"/>
      <c r="M9" s="19"/>
      <c r="N9" s="19"/>
      <c r="O9" s="19"/>
      <c r="P9" s="19"/>
      <c r="Q9" s="19"/>
      <c r="R9" s="19"/>
    </row>
    <row r="10" ht="15.75" customHeight="1">
      <c r="A10" s="1" t="s">
        <v>19</v>
      </c>
      <c r="B10" s="20">
        <f>62/68</f>
        <v>0.9117647059</v>
      </c>
      <c r="C10" s="20">
        <f>68/68</f>
        <v>1</v>
      </c>
      <c r="D10" s="20">
        <f>23/68</f>
        <v>0.3382352941</v>
      </c>
      <c r="E10" s="19"/>
      <c r="F10" s="20">
        <f>48/68</f>
        <v>0.7058823529</v>
      </c>
      <c r="G10" s="19"/>
      <c r="H10" s="20">
        <f>35/68</f>
        <v>0.5147058824</v>
      </c>
      <c r="I10" s="19"/>
      <c r="J10" s="20">
        <f>68/68</f>
        <v>1</v>
      </c>
      <c r="K10" s="19"/>
      <c r="L10" s="20">
        <f>51/68</f>
        <v>0.75</v>
      </c>
      <c r="M10" s="19"/>
      <c r="N10" s="19"/>
      <c r="O10" s="19"/>
      <c r="P10" s="19"/>
      <c r="Q10" s="19"/>
      <c r="R10" s="19"/>
    </row>
    <row r="11" ht="15.75" customHeight="1">
      <c r="A11" s="1" t="s">
        <v>20</v>
      </c>
      <c r="B11" s="19"/>
      <c r="C11" s="20">
        <f>60/60</f>
        <v>1</v>
      </c>
      <c r="D11" s="20">
        <f>20/60</f>
        <v>0.3333333333</v>
      </c>
      <c r="E11" s="19"/>
      <c r="F11" s="20">
        <f>32/60</f>
        <v>0.5333333333</v>
      </c>
      <c r="G11" s="19"/>
      <c r="H11" s="20">
        <f>38/60</f>
        <v>0.6333333333</v>
      </c>
      <c r="I11" s="19"/>
      <c r="J11" s="20">
        <f>60/60</f>
        <v>1</v>
      </c>
      <c r="K11" s="19"/>
      <c r="L11" s="20">
        <f>49/60</f>
        <v>0.8166666667</v>
      </c>
      <c r="M11" s="19"/>
      <c r="N11" s="19"/>
      <c r="O11" s="19"/>
      <c r="P11" s="19"/>
      <c r="Q11" s="19"/>
      <c r="R11" s="19"/>
    </row>
    <row r="12" ht="15.75" customHeight="1">
      <c r="A12" s="1" t="s">
        <v>21</v>
      </c>
      <c r="B12" s="19"/>
      <c r="C12" s="20">
        <f>57/63</f>
        <v>0.9047619048</v>
      </c>
      <c r="D12" s="20">
        <f>26/63</f>
        <v>0.4126984127</v>
      </c>
      <c r="E12" s="19"/>
      <c r="F12" s="19"/>
      <c r="G12" s="19"/>
      <c r="H12" s="19"/>
      <c r="I12" s="19"/>
      <c r="J12" s="19"/>
      <c r="K12" s="19"/>
      <c r="L12" s="20">
        <f>44/63</f>
        <v>0.6984126984</v>
      </c>
      <c r="M12" s="19"/>
      <c r="N12" s="19"/>
      <c r="O12" s="19"/>
      <c r="P12" s="19"/>
      <c r="Q12" s="19"/>
      <c r="R12" s="19"/>
    </row>
    <row r="13" ht="15.75" customHeight="1">
      <c r="A13" s="1" t="s">
        <v>22</v>
      </c>
      <c r="B13" s="20">
        <f>62/64</f>
        <v>0.96875</v>
      </c>
      <c r="C13" s="19"/>
      <c r="D13" s="20">
        <f>22/64</f>
        <v>0.34375</v>
      </c>
      <c r="E13" s="19"/>
      <c r="F13" s="20">
        <f>53/64</f>
        <v>0.828125</v>
      </c>
      <c r="G13" s="19"/>
      <c r="H13" s="20">
        <f>33/64</f>
        <v>0.515625</v>
      </c>
      <c r="I13" s="19"/>
      <c r="J13" s="20">
        <f>64/64</f>
        <v>1</v>
      </c>
      <c r="K13" s="19"/>
      <c r="L13" s="19"/>
      <c r="M13" s="19"/>
      <c r="N13" s="19"/>
      <c r="O13" s="19"/>
      <c r="P13" s="19"/>
      <c r="Q13" s="19"/>
      <c r="R13" s="19"/>
    </row>
    <row r="14" ht="15.75" customHeight="1">
      <c r="A14" s="1" t="s">
        <v>23</v>
      </c>
      <c r="B14" s="19"/>
      <c r="C14" s="19"/>
      <c r="E14" s="19"/>
      <c r="F14" s="20">
        <f>44/64</f>
        <v>0.6875</v>
      </c>
      <c r="G14" s="19"/>
      <c r="H14" s="20">
        <f>31/64</f>
        <v>0.484375</v>
      </c>
      <c r="I14" s="19"/>
      <c r="J14" s="20">
        <f>47/64</f>
        <v>0.734375</v>
      </c>
      <c r="K14" s="19"/>
      <c r="L14" s="19"/>
      <c r="M14" s="19"/>
      <c r="N14" s="19"/>
      <c r="O14" s="19"/>
      <c r="P14" s="19"/>
      <c r="Q14" s="19"/>
      <c r="R14" s="19"/>
    </row>
    <row r="15" ht="15.75" customHeight="1">
      <c r="A15" s="1" t="s">
        <v>24</v>
      </c>
      <c r="B15" s="19"/>
      <c r="C15" s="20">
        <f>60/60</f>
        <v>1</v>
      </c>
      <c r="D15" s="20">
        <f>23/60</f>
        <v>0.3833333333</v>
      </c>
      <c r="E15" s="19"/>
      <c r="F15" s="19"/>
      <c r="G15" s="19"/>
      <c r="H15" s="19"/>
      <c r="I15" s="19"/>
      <c r="J15" s="20">
        <f>60/60</f>
        <v>1</v>
      </c>
      <c r="K15" s="19"/>
      <c r="L15" s="20">
        <f>60/60</f>
        <v>1</v>
      </c>
      <c r="M15" s="19"/>
      <c r="N15" s="19"/>
      <c r="O15" s="19"/>
    </row>
    <row r="16" ht="15.75" customHeight="1">
      <c r="A16" s="1" t="s">
        <v>25</v>
      </c>
      <c r="B16" s="20">
        <f>25/64</f>
        <v>0.390625</v>
      </c>
      <c r="C16" s="20">
        <f>26/64</f>
        <v>0.40625</v>
      </c>
      <c r="D16" s="20">
        <f>17/64</f>
        <v>0.265625</v>
      </c>
      <c r="E16" s="19"/>
      <c r="F16" s="20">
        <f>24/64</f>
        <v>0.375</v>
      </c>
      <c r="G16" s="19"/>
      <c r="H16" s="20">
        <f>27/64</f>
        <v>0.421875</v>
      </c>
      <c r="I16" s="19"/>
      <c r="J16" s="20">
        <f>33/64</f>
        <v>0.515625</v>
      </c>
      <c r="K16" s="19"/>
      <c r="L16" s="20">
        <f>36/64</f>
        <v>0.5625</v>
      </c>
      <c r="M16" s="19"/>
      <c r="N16" s="19"/>
      <c r="O16" s="19"/>
    </row>
    <row r="17" ht="15.75" customHeight="1">
      <c r="A17" s="1" t="s">
        <v>26</v>
      </c>
      <c r="B17" s="19"/>
      <c r="C17" s="19"/>
      <c r="E17" s="19"/>
      <c r="F17" s="19"/>
      <c r="G17" s="20">
        <f>60/63</f>
        <v>0.9523809524</v>
      </c>
      <c r="H17" s="19"/>
      <c r="I17" s="19"/>
      <c r="J17" s="19"/>
      <c r="K17" s="20">
        <f>42/63</f>
        <v>0.6666666667</v>
      </c>
      <c r="L17" s="20">
        <f>38/63</f>
        <v>0.6031746032</v>
      </c>
      <c r="M17" s="19"/>
      <c r="N17" s="19"/>
      <c r="O17" s="19"/>
    </row>
    <row r="18" ht="15.75" customHeight="1">
      <c r="A18" s="8" t="s">
        <v>27</v>
      </c>
      <c r="B18" s="21">
        <f t="shared" ref="B18:L18" si="1">MAX(B3:B17)</f>
        <v>1</v>
      </c>
      <c r="C18" s="21">
        <f t="shared" si="1"/>
        <v>1</v>
      </c>
      <c r="D18" s="21">
        <f t="shared" si="1"/>
        <v>0.5538461538</v>
      </c>
      <c r="E18" s="21">
        <f t="shared" si="1"/>
        <v>0.3846153846</v>
      </c>
      <c r="F18" s="21">
        <f t="shared" si="1"/>
        <v>0.828125</v>
      </c>
      <c r="G18" s="21">
        <f t="shared" si="1"/>
        <v>0.9677419355</v>
      </c>
      <c r="H18" s="21">
        <f t="shared" si="1"/>
        <v>0.6333333333</v>
      </c>
      <c r="I18" s="21">
        <f t="shared" si="1"/>
        <v>0.9538461538</v>
      </c>
      <c r="J18" s="21">
        <f t="shared" si="1"/>
        <v>1</v>
      </c>
      <c r="K18" s="21">
        <f t="shared" si="1"/>
        <v>0.6935483871</v>
      </c>
      <c r="L18" s="21">
        <f t="shared" si="1"/>
        <v>1</v>
      </c>
      <c r="M18" s="19"/>
      <c r="N18" s="19"/>
      <c r="O18" s="19"/>
    </row>
    <row r="19" ht="15.75" customHeight="1">
      <c r="A19" s="10" t="s">
        <v>28</v>
      </c>
      <c r="B19" s="21">
        <f t="shared" ref="B19:L19" si="2">QUARTILE(B3:B17, 3)</f>
        <v>0.9402573529</v>
      </c>
      <c r="C19" s="21">
        <f t="shared" si="2"/>
        <v>1</v>
      </c>
      <c r="D19" s="21">
        <f t="shared" si="2"/>
        <v>0.3906746032</v>
      </c>
      <c r="E19" s="21">
        <f t="shared" si="2"/>
        <v>0.3812034739</v>
      </c>
      <c r="F19" s="21">
        <f t="shared" si="2"/>
        <v>0.7067873303</v>
      </c>
      <c r="G19" s="21">
        <f t="shared" si="2"/>
        <v>0.9600614439</v>
      </c>
      <c r="H19" s="21">
        <f t="shared" si="2"/>
        <v>0.5886287625</v>
      </c>
      <c r="I19" s="21">
        <f t="shared" si="2"/>
        <v>0.9261984392</v>
      </c>
      <c r="J19" s="21">
        <f t="shared" si="2"/>
        <v>1</v>
      </c>
      <c r="K19" s="21">
        <f t="shared" si="2"/>
        <v>0.6733870968</v>
      </c>
      <c r="L19" s="21">
        <f t="shared" si="2"/>
        <v>0.8</v>
      </c>
      <c r="M19" s="19"/>
      <c r="N19" s="19"/>
      <c r="O19" s="19"/>
    </row>
    <row r="20" ht="15.75" customHeight="1">
      <c r="A20" s="8" t="s">
        <v>29</v>
      </c>
      <c r="B20" s="21">
        <f t="shared" ref="B20:L20" si="3">MEDIAN(B3:B17)</f>
        <v>0.8985507246</v>
      </c>
      <c r="C20" s="21">
        <f t="shared" si="3"/>
        <v>0.9523809524</v>
      </c>
      <c r="D20" s="21">
        <f t="shared" si="3"/>
        <v>0.3409926471</v>
      </c>
      <c r="E20" s="21">
        <f t="shared" si="3"/>
        <v>0.3777915633</v>
      </c>
      <c r="F20" s="21">
        <f t="shared" si="3"/>
        <v>0.7049180328</v>
      </c>
      <c r="G20" s="21">
        <f t="shared" si="3"/>
        <v>0.9523809524</v>
      </c>
      <c r="H20" s="21">
        <f t="shared" si="3"/>
        <v>0.5151654412</v>
      </c>
      <c r="I20" s="21">
        <f t="shared" si="3"/>
        <v>0.8985507246</v>
      </c>
      <c r="J20" s="21">
        <f t="shared" si="3"/>
        <v>1</v>
      </c>
      <c r="K20" s="21">
        <f t="shared" si="3"/>
        <v>0.6067708333</v>
      </c>
      <c r="L20" s="21">
        <f t="shared" si="3"/>
        <v>0.7242063492</v>
      </c>
      <c r="M20" s="19">
        <f>MEDIAN(B20:L20)</f>
        <v>0.7242063492</v>
      </c>
    </row>
    <row r="21" ht="15.75" customHeight="1">
      <c r="A21" s="8" t="s">
        <v>30</v>
      </c>
      <c r="B21" s="21">
        <f t="shared" ref="B21:L21" si="4">QUARTILE(B3:B17, 1)</f>
        <v>0.6888809694</v>
      </c>
      <c r="C21" s="21">
        <f t="shared" si="4"/>
        <v>0.8409445746</v>
      </c>
      <c r="D21" s="21">
        <f t="shared" si="4"/>
        <v>0.3196721311</v>
      </c>
      <c r="E21" s="21">
        <f t="shared" si="4"/>
        <v>0.3743796526</v>
      </c>
      <c r="F21" s="21">
        <f t="shared" si="4"/>
        <v>0.6104166667</v>
      </c>
      <c r="G21" s="21">
        <f t="shared" si="4"/>
        <v>0.7183779762</v>
      </c>
      <c r="H21" s="21">
        <f t="shared" si="4"/>
        <v>0.502241291</v>
      </c>
      <c r="I21" s="21">
        <f t="shared" si="4"/>
        <v>0.8985507246</v>
      </c>
      <c r="J21" s="21">
        <f t="shared" si="4"/>
        <v>0.8671875</v>
      </c>
      <c r="K21" s="21">
        <f t="shared" si="4"/>
        <v>0.5178485577</v>
      </c>
      <c r="L21" s="21">
        <f t="shared" si="4"/>
        <v>0.626984127</v>
      </c>
      <c r="M21" s="19"/>
    </row>
    <row r="22" ht="15.75" customHeight="1">
      <c r="A22" s="8" t="s">
        <v>31</v>
      </c>
      <c r="B22" s="21">
        <f t="shared" ref="B22:L22" si="5">MIN(B3:B17)</f>
        <v>0.390625</v>
      </c>
      <c r="C22" s="21">
        <f t="shared" si="5"/>
        <v>0.40625</v>
      </c>
      <c r="D22" s="21">
        <f t="shared" si="5"/>
        <v>0.265625</v>
      </c>
      <c r="E22" s="21">
        <f t="shared" si="5"/>
        <v>0.3709677419</v>
      </c>
      <c r="F22" s="21">
        <f t="shared" si="5"/>
        <v>0.375</v>
      </c>
      <c r="G22" s="21">
        <f t="shared" si="5"/>
        <v>0.484375</v>
      </c>
      <c r="H22" s="21">
        <f t="shared" si="5"/>
        <v>0.421875</v>
      </c>
      <c r="I22" s="21">
        <f t="shared" si="5"/>
        <v>0.8985507246</v>
      </c>
      <c r="J22" s="21">
        <f t="shared" si="5"/>
        <v>0.515625</v>
      </c>
      <c r="K22" s="21">
        <f t="shared" si="5"/>
        <v>0.4307692308</v>
      </c>
      <c r="L22" s="21">
        <f t="shared" si="5"/>
        <v>0.5625</v>
      </c>
      <c r="M22" s="19"/>
    </row>
    <row r="23" ht="15.75" customHeight="1">
      <c r="M23" s="19"/>
    </row>
    <row r="24" ht="15.75" customHeight="1">
      <c r="M24" s="19"/>
    </row>
    <row r="25" ht="15.75" customHeight="1">
      <c r="M25" s="19"/>
    </row>
    <row r="26" ht="15.75" customHeight="1">
      <c r="M26" s="19"/>
    </row>
    <row r="27" ht="15.75" customHeight="1">
      <c r="A27" s="1"/>
      <c r="G27" s="1"/>
      <c r="M27" s="19"/>
    </row>
    <row r="28" ht="15.75" customHeight="1">
      <c r="A28" s="1"/>
      <c r="B28" s="22"/>
      <c r="E28" s="22"/>
      <c r="G28" s="1"/>
      <c r="H28" s="22"/>
      <c r="K28" s="22"/>
      <c r="M28" s="19"/>
    </row>
    <row r="29" ht="15.75" customHeight="1">
      <c r="A29" s="1"/>
      <c r="B29" s="22"/>
      <c r="C29" s="22"/>
      <c r="E29" s="19"/>
      <c r="G29" s="1"/>
      <c r="H29" s="22"/>
      <c r="I29" s="22"/>
      <c r="K29" s="19"/>
    </row>
    <row r="30" ht="15.75" customHeight="1">
      <c r="A30" s="1"/>
      <c r="B30" s="22"/>
      <c r="C30" s="19"/>
      <c r="E30" s="22"/>
      <c r="G30" s="1"/>
      <c r="H30" s="22"/>
      <c r="I30" s="19"/>
      <c r="K30" s="22"/>
    </row>
    <row r="31" ht="15.75" customHeight="1">
      <c r="A31" s="1"/>
      <c r="B31" s="19"/>
      <c r="C31" s="19"/>
      <c r="D31" s="22"/>
      <c r="E31" s="19"/>
      <c r="G31" s="1"/>
      <c r="H31" s="19"/>
      <c r="I31" s="19"/>
      <c r="J31" s="22"/>
      <c r="K31" s="19"/>
    </row>
    <row r="32" ht="15.75" customHeight="1">
      <c r="A32" s="1"/>
      <c r="B32" s="19"/>
      <c r="C32" s="19"/>
      <c r="D32" s="22"/>
      <c r="E32" s="19"/>
      <c r="G32" s="1"/>
      <c r="H32" s="19"/>
      <c r="I32" s="19"/>
      <c r="J32" s="22"/>
      <c r="K32" s="19"/>
    </row>
    <row r="33" ht="15.75" customHeight="1">
      <c r="A33" s="1"/>
      <c r="B33" s="22"/>
      <c r="C33" s="19"/>
      <c r="D33" s="19"/>
      <c r="E33" s="22"/>
      <c r="G33" s="1"/>
      <c r="H33" s="22"/>
      <c r="I33" s="19"/>
      <c r="J33" s="19"/>
      <c r="K33" s="22"/>
    </row>
    <row r="34" ht="15.75" customHeight="1">
      <c r="A34" s="1"/>
      <c r="B34" s="22"/>
      <c r="C34" s="22"/>
      <c r="D34" s="19"/>
      <c r="G34" s="1"/>
      <c r="H34" s="22"/>
      <c r="I34" s="22"/>
      <c r="J34" s="19"/>
    </row>
    <row r="35" ht="15.75" customHeight="1">
      <c r="A35" s="1"/>
      <c r="B35" s="19"/>
      <c r="C35" s="22"/>
      <c r="D35" s="19"/>
      <c r="G35" s="1"/>
      <c r="H35" s="19"/>
      <c r="I35" s="22"/>
      <c r="J35" s="19"/>
    </row>
    <row r="36" ht="15.75" customHeight="1">
      <c r="A36" s="1"/>
      <c r="B36" s="19"/>
      <c r="C36" s="22"/>
      <c r="D36" s="19"/>
      <c r="G36" s="1"/>
      <c r="H36" s="19"/>
      <c r="I36" s="22"/>
      <c r="J36" s="19"/>
    </row>
    <row r="37" ht="15.75" customHeight="1">
      <c r="A37" s="1"/>
      <c r="B37" s="22"/>
      <c r="C37" s="19"/>
      <c r="D37" s="19"/>
      <c r="G37" s="1"/>
      <c r="H37" s="22"/>
      <c r="I37" s="19"/>
      <c r="J37" s="19"/>
    </row>
    <row r="38" ht="15.75" customHeight="1">
      <c r="A38" s="1"/>
      <c r="B38" s="19"/>
      <c r="C38" s="19"/>
      <c r="D38" s="19"/>
      <c r="G38" s="1"/>
      <c r="H38" s="19"/>
      <c r="I38" s="19"/>
      <c r="J38" s="19"/>
    </row>
    <row r="39" ht="15.75" customHeight="1">
      <c r="A39" s="1"/>
      <c r="B39" s="19"/>
      <c r="C39" s="22"/>
      <c r="D39" s="19"/>
      <c r="G39" s="1"/>
      <c r="H39" s="19"/>
      <c r="I39" s="22"/>
      <c r="J39" s="19"/>
    </row>
    <row r="40" ht="15.75" customHeight="1">
      <c r="A40" s="1"/>
      <c r="B40" s="22"/>
      <c r="C40" s="22"/>
      <c r="D40" s="19"/>
      <c r="G40" s="1"/>
      <c r="H40" s="22"/>
      <c r="I40" s="22"/>
      <c r="J40" s="19"/>
    </row>
    <row r="41" ht="15.75" customHeight="1">
      <c r="A41" s="1"/>
      <c r="D41" s="22"/>
      <c r="G41" s="1"/>
      <c r="J41" s="2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