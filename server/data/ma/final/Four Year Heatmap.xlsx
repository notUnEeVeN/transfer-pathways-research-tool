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commentsmeta8"/>
  <Override ContentType="application/binary" PartName="/xl/commentsmeta9"/>
  <Override ContentType="application/binary" PartName="/xl/commentsmeta6"/>
  <Override ContentType="application/binary" PartName="/xl/commentsmeta7"/>
  <Override ContentType="application/binary" PartName="/xl/commentsmeta10"/>
  <Override ContentType="application/binary" PartName="/xl/commentsmeta4"/>
  <Override ContentType="application/binary" PartName="/xl/commentsmeta5"/>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llys" sheetId="1" r:id="rId4"/>
    <sheet state="visible" name="Bridgewater" sheetId="2" r:id="rId5"/>
    <sheet state="visible" name="Fitchburg" sheetId="3" r:id="rId6"/>
    <sheet state="visible" name="Framingham" sheetId="4" r:id="rId7"/>
    <sheet state="visible" name="MCLA" sheetId="5" r:id="rId8"/>
    <sheet state="visible" name="Salem" sheetId="6" r:id="rId9"/>
    <sheet state="visible" name="UMass Amherst" sheetId="7" r:id="rId10"/>
    <sheet state="visible" name="UMass Boston" sheetId="8" r:id="rId11"/>
    <sheet state="visible" name="UMass Dartmouth" sheetId="9" r:id="rId12"/>
    <sheet state="visible" name="UMass Lowell" sheetId="10" r:id="rId13"/>
    <sheet state="visible" name="Westfield" sheetId="11" r:id="rId14"/>
    <sheet state="visible" name="Worcester" sheetId="12" r:id="rId15"/>
    <sheet state="visible" name="OG Work" sheetId="13" r:id="rId16"/>
  </sheets>
  <definedNames/>
  <calcPr/>
  <extLst>
    <ext uri="GoogleSheetsCustomDataVersion2">
      <go:sheetsCustomData xmlns:go="http://customooxmlschemas.google.com/" r:id="rId17" roundtripDataChecksum="eraou/Pkjt2HRBQOGYK76nOeXTFDcDFB+PjSCSowcC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
ID#AAABdkTQwoI
    (2025-02-07 17:38:10)
MassTransfer
	-Baylon, Ryan Baylon</t>
      </text>
    </comment>
    <comment authorId="0" ref="A1">
      <text>
        <t xml:space="preserve">======
ID#AAABdkTQwnU
    (2025-02-07 17:38:10)
https://www.bridgew.edu/academics/majors-minors-undergraduate/computer-science
	-Baylon, Ryan Baylon</t>
      </text>
    </comment>
  </commentList>
  <extLst>
    <ext uri="GoogleSheetsCustomDataVersion2">
      <go:sheetsCustomData xmlns:go="http://customooxmlschemas.google.com/" r:id="rId1" roundtripDataSignature="AMtx7mh/6e0i/pCNf7X04PjyfRARLm7uh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2">
      <text>
        <t xml:space="preserve">======
ID#AAABdkTQwoA
    (2025-02-07 17:38:10)
no clue how this works
	-Baylon, Ryan Baylon</t>
      </text>
    </comment>
    <comment authorId="0" ref="A1">
      <text>
        <t xml:space="preserve">======
ID#AAABdkTQwnA
    (2025-02-07 17:38:10)
https://catalog.fitchburgstate.edu/preview_program.php?catoid=48&amp;poid=11791&amp;returnto=3385
	-Baylon, Ryan Baylon</t>
      </text>
    </comment>
  </commentList>
  <extLst>
    <ext uri="GoogleSheetsCustomDataVersion2">
      <go:sheetsCustomData xmlns:go="http://customooxmlschemas.google.com/" r:id="rId1" roundtripDataSignature="AMtx7mgow43wetfwDq1hVOlDuXDpx1mzug=="/>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ID#AAABdkTQwnY
    (2025-02-07 17:38:10)
https://www.mcla.edu/Assets/MCLA-Files/Academics/Flow-sheet/CSCI-SOFTWARE-DEV-F16.pdf
	-Baylon, Ryan Baylon</t>
      </text>
    </comment>
  </commentList>
  <extLst>
    <ext uri="GoogleSheetsCustomDataVersion2">
      <go:sheetsCustomData xmlns:go="http://customooxmlschemas.google.com/" r:id="rId1" roundtripDataSignature="AMtx7mizWMncfsZX8XXuzoVU0apuliNxIg=="/>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W4">
      <text>
        <t xml:space="preserve">======
ID#AAABdkTQwog
    (2025-02-07 17:38:10)
3 for 1
	-Baylon, Ryan Baylon</t>
      </text>
    </comment>
    <comment authorId="0" ref="A1">
      <text>
        <t xml:space="preserve">======
ID#AAABdkTQwoY
    (2025-02-07 17:38:10)
https://catalog.salemstate.edu/preview_program.php?catoid=59&amp;poid=7696&amp;returnto=15948
	-Baylon, Ryan Baylon</t>
      </text>
    </comment>
  </commentList>
  <extLst>
    <ext uri="GoogleSheetsCustomDataVersion2">
      <go:sheetsCustomData xmlns:go="http://customooxmlschemas.google.com/" r:id="rId1" roundtripDataSignature="AMtx7mg9a5LvzC5mfNHE0peo/xoUQfuhPw=="/>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
      <text>
        <t xml:space="preserve">======
ID#AAABdkTQwpg
    (2025-02-07 17:38:10)
everything on MassTransfer says "Equivalent not offered at ___" but is still equivalent??
	-Baylon, Ryan Baylon</t>
      </text>
    </comment>
    <comment authorId="0" ref="L6">
      <text>
        <t xml:space="preserve">======
ID#AAABdkTQwpk
    (2025-02-07 17:38:10)
"Equivalent not offered at _"
	-Baylon, Ryan Baylon</t>
      </text>
    </comment>
    <comment authorId="0" ref="L14">
      <text>
        <t xml:space="preserve">======
ID#AAABdkTQwpc
    (2025-02-07 17:38:10)
"Equivalent not offered at _"
	-Baylon, Ryan Baylon</t>
      </text>
    </comment>
    <comment authorId="0" ref="L5">
      <text>
        <t xml:space="preserve">======
ID#AAABdkTQwpI
    (2025-02-07 17:38:10)
"Equivalent not offered at _"
	-Baylon, Ryan Baylon</t>
      </text>
    </comment>
    <comment authorId="0" ref="I1">
      <text>
        <t xml:space="preserve">======
ID#AAABdkTQwo8
    (2025-02-07 17:38:10)
Prerequisite to Computer System Principles, so its actually just a requirement. If System Principles transfers, I autocheck this box.
	-Baylon, Ryan Baylon</t>
      </text>
    </comment>
    <comment authorId="0" ref="L12">
      <text>
        <t xml:space="preserve">======
ID#AAABdkTQwoc
    (2025-02-07 17:38:10)
"Equivalent not offered at _"
	-Baylon, Ryan Baylon</t>
      </text>
    </comment>
    <comment authorId="0" ref="L3">
      <text>
        <t xml:space="preserve">======
ID#AAABdkTQwoU
    (2025-02-07 17:38:10)
"Equivalent not offered at ___"
	-Baylon, Ryan Baylon</t>
      </text>
    </comment>
    <comment authorId="0" ref="P3">
      <text>
        <t xml:space="preserve">======
ID#AAABdkTQwoQ
    (2025-02-07 17:38:10)
"Equivalent not offered at ___"
	-Baylon, Ryan Baylon</t>
      </text>
    </comment>
    <comment authorId="0" ref="P13">
      <text>
        <t xml:space="preserve">======
ID#AAABdkTQwn0
    (2025-02-07 17:38:10)
"Equivalent not offered at _"
	-Baylon, Ryan Baylon</t>
      </text>
    </comment>
    <comment authorId="0" ref="L2">
      <text>
        <t xml:space="preserve">======
ID#AAABdkTQwno
    (2025-02-07 17:38:10)
"Equivalent not offered at ___"
	-Baylon, Ryan Baylon</t>
      </text>
    </comment>
    <comment authorId="0" ref="L9">
      <text>
        <t xml:space="preserve">======
ID#AAABdkTQwns
    (2025-02-07 17:38:10)
"Equivalent not offered at _"
	-Baylon, Ryan Baylon</t>
      </text>
    </comment>
    <comment authorId="0" ref="L13">
      <text>
        <t xml:space="preserve">======
ID#AAABdkTQwnk
    (2025-02-07 17:38:10)
"Equivalent not offered at _"
	-Baylon, Ryan Baylon</t>
      </text>
    </comment>
    <comment authorId="0" ref="L10">
      <text>
        <t xml:space="preserve">======
ID#AAABdkTQwm4
    (2025-02-07 17:38:10)
"Equivalent not offered at ___"
	-Baylon, Ryan Baylon</t>
      </text>
    </comment>
    <comment authorId="0" ref="A1">
      <text>
        <t xml:space="preserve">======
ID#AAABdkTQwm0
    (2025-02-07 17:38:10)
https://www.cics.umass.edu/academics/academic-policies/undergraduate-programs-policies/bs-computer-science-degree-requirem/bs-cs-degree-requirements-2023-revision
	-Baylon, Ryan Baylon</t>
      </text>
    </comment>
  </commentList>
  <extLst>
    <ext uri="GoogleSheetsCustomDataVersion2">
      <go:sheetsCustomData xmlns:go="http://customooxmlschemas.google.com/" r:id="rId1" roundtripDataSignature="AMtx7mhzCkKDBQVMxu8o3RMo/BmuCs7RZg=="/>
    </ext>
  </extL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ID#AAABdkTQwp0
    (2025-02-07 17:38:10)
https://www.umb.edu/academics/program-finder/computer-science-bs/
	-Baylon, Ryan Baylon</t>
      </text>
    </comment>
    <comment authorId="0" ref="G3">
      <text>
        <t xml:space="preserve">======
ID#AAABdkTQwpE
    (2025-02-07 17:38:10)
again, not sure if this requires two courses or two possible courses
	-Baylon, Ryan Baylon</t>
      </text>
    </comment>
    <comment authorId="0" ref="I8">
      <text>
        <t xml:space="preserve">======
ID#AAABdkTQwn4
    (2025-02-07 17:38:10)
technically yes, but requires 3 courses. Not super confident Im reading this right, but it says "take CTIM151 , CTIM164 , CTIM341"
	-Baylon, Ryan Baylon
id be surprised if this were the case for an ethics course actually
	-Baylon, Ryan Baylon</t>
      </text>
    </comment>
  </commentList>
  <extLst>
    <ext uri="GoogleSheetsCustomDataVersion2">
      <go:sheetsCustomData xmlns:go="http://customooxmlschemas.google.com/" r:id="rId1" roundtripDataSignature="AMtx7mho0VMpuQE5jODmolbEOFUXpc+pSw=="/>
    </ext>
  </extL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E16">
      <text>
        <t xml:space="preserve">======
ID#AAABdkTQwp8
    (2025-02-07 17:38:10)
requires 3 courses though -- thats crazy
	-Baylon, Ryan Baylon</t>
      </text>
    </comment>
    <comment authorId="0" ref="U4">
      <text>
        <t xml:space="preserve">======
ID#AAABdkTQwp4
    (2025-02-07 17:38:10)
equal to 3 courses at CC (yikes!)
	-Baylon, Ryan Baylon</t>
      </text>
    </comment>
    <comment authorId="0" ref="U10">
      <text>
        <t xml:space="preserve">======
ID#AAABdkTQwpo
    (2025-02-07 17:38:10)
2 for 1
	-Baylon, Ryan Baylon</t>
      </text>
    </comment>
    <comment authorId="0" ref="A1">
      <text>
        <t xml:space="preserve">======
ID#AAABdkTQwpM
    (2025-02-07 17:38:10)
https://catalog.umassd.edu/preview_program.php?catoid=82&amp;poid=11674
	-Baylon, Ryan Baylon</t>
      </text>
    </comment>
    <comment authorId="0" ref="B1">
      <text>
        <t xml:space="preserve">======
ID#AAABdkTQwo0
    (2025-02-07 17:38:10)
https://webapps2.umassd.edu/transfers/welcome.php?es=00004226&amp;kw=cis&amp;umd=y&amp;btn=Search
	-Baylon, Ryan Baylon</t>
      </text>
    </comment>
    <comment authorId="0" ref="T1">
      <text>
        <t xml:space="preserve">======
ID#AAABdkTQwos
    (2025-02-07 17:38:10)
any course in BIO, CHM, MAR, MLS, or PHY
	-Baylon, Ryan Baylon</t>
      </text>
    </comment>
    <comment authorId="0" ref="S1">
      <text>
        <t xml:space="preserve">======
ID#AAABdkTQwok
    (2025-02-07 17:38:10)
PHY 113 - Classical Physics I Credits: 4
PHY 114 - Classical Physics II Credits: 4
or
CHM 151 - Principles of Modern Chemistry I Credits: 3
CHM 152 - Principles of Modern Chemistry II Credits: 3
CHM 161 - Introduction to Applied Chemistry I Credits: 1
CHM 162 - Introduction to Applied Chemistry II Credits: 1
or
BIO 121 - Introductory Biology I Credits: 3
BIO 122 - Introductory Biology II Credits: 3
BIO 131 - Introductory Biology Laboratory I Credits: 1
BIO 132 - Introductory Biology Laboratory II Credits: 1
	-Baylon, Ryan Baylon</t>
      </text>
    </comment>
    <comment authorId="0" ref="U9">
      <text>
        <t xml:space="preserve">======
ID#AAABdkTQwoM
    (2025-02-07 17:38:10)
2 for 1
	-Baylon, Ryan Baylon</t>
      </text>
    </comment>
    <comment authorId="0" ref="R1">
      <text>
        <t xml:space="preserve">======
ID#AAABdkTQwn8
    (2025-02-07 17:38:10)
PHY 113 - Classical Physics I Credits: 4
PHY 114 - Classical Physics II Credits: 4
or
CHM 151 - Principles of Modern Chemistry I Credits: 3
CHM 152 - Principles of Modern Chemistry II Credits: 3
CHM 161 - Introduction to Applied Chemistry I Credits: 1
CHM 162 - Introduction to Applied Chemistry II Credits: 1
or
BIO 121 - Introductory Biology I Credits: 3
BIO 122 - Introductory Biology II Credits: 3
BIO 131 - Introductory Biology Laboratory I Credits: 1
BIO 132 - Introductory Biology Laboratory II Credits: 1
	-Baylon, Ryan Baylon</t>
      </text>
    </comment>
    <comment authorId="0" ref="Q1">
      <text>
        <t xml:space="preserve">======
ID#AAABdkTQwnI
    (2025-02-07 17:38:10)
(choose from MTH 211, MTH 213, MTH 221, or MTH 331)
	-Baylon, Ryan Baylon</t>
      </text>
    </comment>
    <comment authorId="0" ref="U14">
      <text>
        <t xml:space="preserve">======
ID#AAABdkTQwm8
    (2025-02-07 17:38:10)
3 for 1
	-Baylon, Ryan Baylon</t>
      </text>
    </comment>
  </commentList>
  <extLst>
    <ext uri="GoogleSheetsCustomDataVersion2">
      <go:sheetsCustomData xmlns:go="http://customooxmlschemas.google.com/" r:id="rId1" roundtripDataSignature="AMtx7mhqDqO015DH0HdWZrppbR6rFw42QA=="/>
    </ext>
  </extL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ID#AAABdkTQwow
    (2025-02-07 17:38:10)
https://www.uml.edu/catalog/undergraduate/sciences/departments/computer-science/degree-pathways/dp-cs-general-2020.aspx
	-Baylon, Ryan Baylon</t>
      </text>
    </comment>
    <comment authorId="0" ref="F3">
      <text>
        <t xml:space="preserve">======
ID#AAABdkTQwnw
    (2025-02-07 17:38:10)
???
	-Baylon, Ryan Baylon</t>
      </text>
    </comment>
  </commentList>
  <extLst>
    <ext uri="GoogleSheetsCustomDataVersion2">
      <go:sheetsCustomData xmlns:go="http://customooxmlschemas.google.com/" r:id="rId1" roundtripDataSignature="AMtx7mjxFKcAs/PFlXyqZBr3QGPOaZr6/A=="/>
    </ext>
  </extL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M2">
      <text>
        <t xml:space="preserve">======
ID#AAABdkTQwps
    (2025-02-07 17:38:10)
their calc II transfers as calc I 
X__X
	-Baylon, Ryan Baylon</t>
      </text>
    </comment>
    <comment authorId="0" ref="V1">
      <text>
        <t xml:space="preserve">======
ID#AAABdkTQwnc
    (2025-02-07 17:38:10)
why is this a 300 level course??
	-Baylon, Ryan Baylon</t>
      </text>
    </comment>
    <comment authorId="0" ref="A1">
      <text>
        <t xml:space="preserve">======
ID#AAABdkTQwnE
    (2025-02-07 17:38:10)
https://www.westfield.ma.edu/academics/degrees/computer-science-degree-bs#:~:text=This%20program%20of%20study%20requires,fulfill%204%20core%20course%20requirements).
	-Baylon, Ryan Baylon</t>
      </text>
    </comment>
  </commentList>
  <extLst>
    <ext uri="GoogleSheetsCustomDataVersion2">
      <go:sheetsCustomData xmlns:go="http://customooxmlschemas.google.com/" r:id="rId1" roundtripDataSignature="AMtx7mhvns6cb1iRvnt8W6dMnwmTtwu+YA=="/>
    </ext>
  </extL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U1">
      <text>
        <t xml:space="preserve">======
ID#AAABdkTQwpw
    (2025-02-07 17:38:10)
math 190 or up (ecept 93 and 202)
any biotech
any chem
any comm sci
env sci 120&gt;
2 in health
any course in geo/earth
3 in occupational studies
phys any above 101
	-Baylon, Ryan Baylon</t>
      </text>
    </comment>
    <comment authorId="0" ref="A1">
      <text>
        <t xml:space="preserve">======
ID#AAABdkTQwpY
    (2025-02-07 17:38:10)
https://catalog.worcester.edu/undergraduate/school-education-health-natural-sciences/computer-science/major-computer-science/#requirementstext
	-Baylon, Ryan Baylon</t>
      </text>
    </comment>
    <comment authorId="0" ref="H8">
      <text>
        <t xml:space="preserve">======
ID#AAABdkTQwpU
    (2025-02-07 17:38:10)
no way
	-Baylon, Ryan Baylon</t>
      </text>
    </comment>
    <comment authorId="0" ref="B1">
      <text>
        <t xml:space="preserve">======
ID#AAABdkTQwo4
    (2025-02-07 17:38:10)
https://tes.collegesource.com/publicview/TES_publicview01.aspx?rid=a8fc3ff7-1480-4527-9f63-ff890ade6438&amp;aid=adea4803-0c14-43f0-a705-0621f3052998
	-Baylon, Ryan Baylon</t>
      </text>
    </comment>
    <comment authorId="0" ref="H14">
      <text>
        <t xml:space="preserve">======
ID#AAABdkTQwoo
    (2025-02-07 17:38:10)
no way
	-Baylon, Ryan Baylon</t>
      </text>
    </comment>
    <comment authorId="0" ref="H7">
      <text>
        <t xml:space="preserve">======
ID#AAABdkTQwng
    (2025-02-07 17:38:10)
no way
	-Baylon, Ryan Baylon</t>
      </text>
    </comment>
    <comment authorId="0" ref="V1">
      <text>
        <t xml:space="preserve">======
ID#AAABdkTQwnM
    (2025-02-07 17:38:10)
math 190 or up (ecept 93 and 202)
any biotech
any chem
any comm sci
env sci 120&gt;
2 in health
any course in geo/earth
3 in occupational studies
phys any above 101
	-Baylon, Ryan Baylon</t>
      </text>
    </comment>
  </commentList>
  <extLst>
    <ext uri="GoogleSheetsCustomDataVersion2">
      <go:sheetsCustomData xmlns:go="http://customooxmlschemas.google.com/" r:id="rId1" roundtripDataSignature="AMtx7mhvPDTKhH0pabydarCBgEZjjw7xpw=="/>
    </ext>
  </extL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6">
      <text>
        <t xml:space="preserve">======
ID#AAABdkTQwpQ
    (2025-02-07 17:38:10)
I got banned from transferology :/
	-Baylon, Ryan Baylon</t>
      </text>
    </comment>
    <comment authorId="0" ref="C4">
      <text>
        <t xml:space="preserve">======
ID#AAABdkTQwpA
What I found on my own    (2025-02-07 17:38:10)
Computers/ Appl: An Intro, Cobol I, 2D Design, Logic and Computers, Computer Science I, Computer Science II, Cobol II, Database Applications, Intro to Computer Organization, 79 CS Electives
	-Baylon, Ryan Baylon</t>
      </text>
    </comment>
    <comment authorId="0" ref="B1">
      <text>
        <t xml:space="preserve">======
ID#AAABdkTQwoE
    (2025-02-07 17:38:10)
idek how to think about MCLA
	-Baylon, Ryan Baylon</t>
      </text>
    </comment>
    <comment authorId="0" ref="A21">
      <text>
        <t xml:space="preserve">======
ID#AAABdkTQwnQ
    (2025-02-07 17:38:10)
formula to count list items
=COUNTA(SPLIT(B2,","))
	-Baylon, Ryan Baylon</t>
      </text>
    </comment>
  </commentList>
  <extLst>
    <ext uri="GoogleSheetsCustomDataVersion2">
      <go:sheetsCustomData xmlns:go="http://customooxmlschemas.google.com/" r:id="rId1" roundtripDataSignature="AMtx7mimrE+mKB2kK0WSxHSCB79r+ZFDMg=="/>
    </ext>
  </extLst>
</comments>
</file>

<file path=xl/sharedStrings.xml><?xml version="1.0" encoding="utf-8"?>
<sst xmlns="http://schemas.openxmlformats.org/spreadsheetml/2006/main" count="745" uniqueCount="341">
  <si>
    <t>Lower Division</t>
  </si>
  <si>
    <t>Comp</t>
  </si>
  <si>
    <t>Math</t>
  </si>
  <si>
    <t>Science</t>
  </si>
  <si>
    <t>Humanities</t>
  </si>
  <si>
    <t>Bridgewater Potential</t>
  </si>
  <si>
    <t>Bridgewater Actual</t>
  </si>
  <si>
    <t>Fitchburg Potential</t>
  </si>
  <si>
    <t>Fitchburg Actual</t>
  </si>
  <si>
    <t>Framingham Potential</t>
  </si>
  <si>
    <t>Framingham Actual</t>
  </si>
  <si>
    <t>MCLA Potential</t>
  </si>
  <si>
    <t>MCLA Actual</t>
  </si>
  <si>
    <t>Salem Potential</t>
  </si>
  <si>
    <t>Salem Actual</t>
  </si>
  <si>
    <t>Amherst Potential</t>
  </si>
  <si>
    <t>Amherst Actual</t>
  </si>
  <si>
    <t>Boston Potential</t>
  </si>
  <si>
    <t>Boston Actual</t>
  </si>
  <si>
    <t>Dartmouth Potential</t>
  </si>
  <si>
    <t>Dartmouth Actual</t>
  </si>
  <si>
    <t>Lowell Potential</t>
  </si>
  <si>
    <t>Lowell Actual</t>
  </si>
  <si>
    <t>Westfield Potential</t>
  </si>
  <si>
    <t>Westfield Actual</t>
  </si>
  <si>
    <t>Worcester Potential</t>
  </si>
  <si>
    <t>Worcester Actual</t>
  </si>
  <si>
    <t>Avg</t>
  </si>
  <si>
    <t>Upper Division</t>
  </si>
  <si>
    <t>Lower</t>
  </si>
  <si>
    <t>Upper</t>
  </si>
  <si>
    <t>MT</t>
  </si>
  <si>
    <t>Computer Science I (COMP 151)</t>
  </si>
  <si>
    <t>Computer Science II (COMP 152)</t>
  </si>
  <si>
    <t>Introduction to Computer Organization (COMP 206)</t>
  </si>
  <si>
    <t>Data Structures and Algorithms (COMP 250)</t>
  </si>
  <si>
    <t>Linear Algebra (MATH 120 or MATH 202)</t>
  </si>
  <si>
    <t>Discrete Mathematics I (MATH 130)</t>
  </si>
  <si>
    <t>Single Variable Calculus I (MATH 161)</t>
  </si>
  <si>
    <t>Single Variable Calculus II (MATH 162)</t>
  </si>
  <si>
    <t>Statistical Methods I  (MATH 200)</t>
  </si>
  <si>
    <t>Natural Science Elective</t>
  </si>
  <si>
    <t>Organization of Programming Languages (COMP 340)</t>
  </si>
  <si>
    <t>Operating Systems (COMP 350)</t>
  </si>
  <si>
    <t>Software Engineering (COMP 390)</t>
  </si>
  <si>
    <t>Computer Networks (COMP 430)</t>
  </si>
  <si>
    <t>Analysis of Algorithms (COMP 435)</t>
  </si>
  <si>
    <t>Senior Design and Development (COMP 490)</t>
  </si>
  <si>
    <t>Upper Level Elective (3000)</t>
  </si>
  <si>
    <t>Berkshire</t>
  </si>
  <si>
    <t>Bristol</t>
  </si>
  <si>
    <t>Bunker Hill</t>
  </si>
  <si>
    <t>Cape Cod</t>
  </si>
  <si>
    <t>Greenfield</t>
  </si>
  <si>
    <t>Holyoke</t>
  </si>
  <si>
    <t>Massasoit</t>
  </si>
  <si>
    <t>MassBay</t>
  </si>
  <si>
    <t>Middlesex</t>
  </si>
  <si>
    <t>Mount Wachusett</t>
  </si>
  <si>
    <t>North Shore</t>
  </si>
  <si>
    <t>Northern Essex</t>
  </si>
  <si>
    <t>Quinsigamond</t>
  </si>
  <si>
    <t>Roxbury</t>
  </si>
  <si>
    <t>Springfield Technical</t>
  </si>
  <si>
    <t>Total</t>
  </si>
  <si>
    <t>Electives</t>
  </si>
  <si>
    <t>Unadded</t>
  </si>
  <si>
    <t>"Credit for two of the following based on transcript review"</t>
  </si>
  <si>
    <t>All 3</t>
  </si>
  <si>
    <t>Computer Science I (CSC 1500)</t>
  </si>
  <si>
    <t>Computer Science II (CSC 1550)</t>
  </si>
  <si>
    <t>Digital Electronics (CSC 1650)</t>
  </si>
  <si>
    <t>Systems Programming (CSC 2560)</t>
  </si>
  <si>
    <t>Computer Organization (CSC 2600)</t>
  </si>
  <si>
    <t>Discrete Mathematics (CSC 1900)</t>
  </si>
  <si>
    <t>Calculus I (MATH 2300)</t>
  </si>
  <si>
    <t>Business Statistics (MATH 1800)</t>
  </si>
  <si>
    <t>Calculus II (MATH 2400)</t>
  </si>
  <si>
    <t>Linear Algebra (MATH 2600)</t>
  </si>
  <si>
    <t>Web Programming (CSC 3050)</t>
  </si>
  <si>
    <t>Operating Systems (CSC 3100)</t>
  </si>
  <si>
    <t>Programming Languages (CSC 3200)</t>
  </si>
  <si>
    <t>Algorithms and Data Structures (CSC 3700)</t>
  </si>
  <si>
    <t>Ethics and Impacts of Computing Solutions (CSC 4100)</t>
  </si>
  <si>
    <t>Software Engineering (CSC 4400)</t>
  </si>
  <si>
    <t>Introduction to Information Technology (CSCI 120)</t>
  </si>
  <si>
    <t>Computer Science I using Java (CSCI 130)</t>
  </si>
  <si>
    <t>Computer Science Professional Exploration Seminar (CSCI 200)</t>
  </si>
  <si>
    <t>Computer Science II using Java (CSCI 215)</t>
  </si>
  <si>
    <t>Introduction to Operating Systems using UNIX (CSCI 258)</t>
  </si>
  <si>
    <t>Discrete Mathematics I (MATH 206)</t>
  </si>
  <si>
    <t>Probability and Statistics (STAT 157)</t>
  </si>
  <si>
    <t>Data Structures (CSCI 217)</t>
  </si>
  <si>
    <t>Natural Science</t>
  </si>
  <si>
    <t>DataBase Management (CSCI 360)</t>
  </si>
  <si>
    <t>Discrete Structures (CSCI 317)</t>
  </si>
  <si>
    <t>Analysis of Algorithms (CSCI 347)</t>
  </si>
  <si>
    <t>Computer Architecture &amp; Assembly Language (CSCI 352)</t>
  </si>
  <si>
    <t>Software Engineering (CSCI 362)</t>
  </si>
  <si>
    <t>Theory of Computing (CSCI 460)</t>
  </si>
  <si>
    <t>Operating Systems Internals (CSCI 465)</t>
  </si>
  <si>
    <t>Computer Networking (CSCI 477)</t>
  </si>
  <si>
    <t>Upper Level Elective</t>
  </si>
  <si>
    <t>Introduction to Computer Science (CSCI  101)</t>
  </si>
  <si>
    <t>Programming in Java I (CSCI 121)</t>
  </si>
  <si>
    <t>Programming in Java II (CSCI 122)</t>
  </si>
  <si>
    <t>Network Theory and Administration I (CSCI 210)</t>
  </si>
  <si>
    <t>Programming in Java III (CSCI 221)</t>
  </si>
  <si>
    <t>Data Structures and Algorithms (CSCI 361)</t>
  </si>
  <si>
    <t>Digital Circuit Design CSCI 235)</t>
  </si>
  <si>
    <t>Programming in Java IV (CSCI 222)</t>
  </si>
  <si>
    <t>Web Development (CSCI 236)</t>
  </si>
  <si>
    <t>Database Development (CSCI 243</t>
  </si>
  <si>
    <t>General Physics (PHYS 131) or Intro to Mechanics (PHYS 151)</t>
  </si>
  <si>
    <t>Discrete Mathematics (MATH 250)</t>
  </si>
  <si>
    <t>Business Writing and Presentation (ENGL 306)</t>
  </si>
  <si>
    <t>Operating Systems (CSCI 362)</t>
  </si>
  <si>
    <t>Programming in C++ (CSCI 330)</t>
  </si>
  <si>
    <t>Computer Organization &amp; Assembly Language (CSCI 318)</t>
  </si>
  <si>
    <t>Object Oriented Design (CSCI 328)</t>
  </si>
  <si>
    <t>Server Side Software Development (CSCI 343)</t>
  </si>
  <si>
    <t>Junior Qualification Symposium (CSCI 390)</t>
  </si>
  <si>
    <t>Senior Project I (CSCI 461)</t>
  </si>
  <si>
    <t>Software Engineering (CSCI 452)</t>
  </si>
  <si>
    <t>Senior Project II (CSCI 462)</t>
  </si>
  <si>
    <t>Upper Level Elective (300)</t>
  </si>
  <si>
    <t>Survery of Computer Science (CSC 105)</t>
  </si>
  <si>
    <t>Software Design and Programming I (CSC 110)</t>
  </si>
  <si>
    <t>Software Design and Programming II (CSC 115)</t>
  </si>
  <si>
    <t>Data Structures and Algorithms (CSC 260)</t>
  </si>
  <si>
    <t>Computer Architecture and Organization (CSC 295)</t>
  </si>
  <si>
    <t>Concepts of Programming Languages (CSC 299)</t>
  </si>
  <si>
    <t>Statistics (MAT 147)</t>
  </si>
  <si>
    <t>Discrete Structures (MAT 214A)</t>
  </si>
  <si>
    <t>Calculus I (MAT 220)</t>
  </si>
  <si>
    <t>Calculus II (MAT 221)</t>
  </si>
  <si>
    <t>CSC Elective</t>
  </si>
  <si>
    <t>Math Elective (post calc II)</t>
  </si>
  <si>
    <t>Software Engineering I (CSC 300)</t>
  </si>
  <si>
    <t>Operating System Principles (CSC 381)</t>
  </si>
  <si>
    <t>Analysis of Algorithms (CSC 415)</t>
  </si>
  <si>
    <t>Computer Science Capstone Project Specifications (CSC 520)</t>
  </si>
  <si>
    <t>Computer Science Capstone Project (CSC 521)</t>
  </si>
  <si>
    <t>Source</t>
  </si>
  <si>
    <t>Foundations of Programming (CICS 110)</t>
  </si>
  <si>
    <t>Object Oriented Programming (CICS 160)</t>
  </si>
  <si>
    <t>Data Structures (CICS 210)</t>
  </si>
  <si>
    <t>Programming Methodology (COMPSCI 220)</t>
  </si>
  <si>
    <t>Introduction to the C Programming Language (COMPSCI 198C)</t>
  </si>
  <si>
    <t>Computer Systems Principles (COMPSCI 230)</t>
  </si>
  <si>
    <t>Reasoning About Uncertainty (COMPSCI 240)</t>
  </si>
  <si>
    <t>Introduction to Computation (COMPSCI 250)</t>
  </si>
  <si>
    <t>Calculus I (MATH 131)</t>
  </si>
  <si>
    <t>Calculus II (MATH 132)</t>
  </si>
  <si>
    <t>Multivariate Calculus (MATH 233) OR Statistics I (STATISTIC 515)</t>
  </si>
  <si>
    <t>Introduction to Linear Algebra (MATH 235)</t>
  </si>
  <si>
    <t>Introduction to Algorithms (COMPSCI 311)</t>
  </si>
  <si>
    <t>Upper Level Elective (400)</t>
  </si>
  <si>
    <t>Introduction to Computing (CS 110)</t>
  </si>
  <si>
    <t>Intermediate Computing with Data Structures (CS 210)</t>
  </si>
  <si>
    <t>Applied Discrete Mathematics (CS 220)</t>
  </si>
  <si>
    <t>Programming in C (CS 240)</t>
  </si>
  <si>
    <t>Social Issues and Ethics in Computing (CS 285L)</t>
  </si>
  <si>
    <t>Calculus I (MATH 140)</t>
  </si>
  <si>
    <t>Calculus II (MATH 141)</t>
  </si>
  <si>
    <t>Linear Algebra I (MATH 260)</t>
  </si>
  <si>
    <t xml:space="preserve">Fundamentals of Physics I and Lab (PHYSIC 113 and PHYSIC 181) </t>
  </si>
  <si>
    <t>Fundamentals of Physics II and Lab (PHYSIC 114 and PHYSIC 182)</t>
  </si>
  <si>
    <t>Probability and Statistics (MATH 345)</t>
  </si>
  <si>
    <t>Advanced Data Structures and Algorithms (CS 310)</t>
  </si>
  <si>
    <t>Computer Architecture and Organization (CS 341)</t>
  </si>
  <si>
    <t>An Introduction to Software Engineering (CS 410)</t>
  </si>
  <si>
    <t>An Introduction to the Theory of Computation (CS 420)</t>
  </si>
  <si>
    <t>An Introduction to Operating Systems (CS 444)</t>
  </si>
  <si>
    <t>Introduction to Internetworking (CS 446)</t>
  </si>
  <si>
    <t xml:space="preserve">Introductoin to Computer Security (CS 449) </t>
  </si>
  <si>
    <t>Compilers (CS451)</t>
  </si>
  <si>
    <t>All of this is unofficial through transferology, but UMB doesnt have any official transfer stuff. (aaa)</t>
  </si>
  <si>
    <t>Object-Oriented Prog I (CIS 180)</t>
  </si>
  <si>
    <t>Object-Oriented Prog II (CIS 181)</t>
  </si>
  <si>
    <t>Intro to Procedural Program (CIS 190)</t>
  </si>
  <si>
    <t>Intro to Computer Systems (CIS 272)</t>
  </si>
  <si>
    <t>Comp Organiztn &amp; Design (CIS 273)</t>
  </si>
  <si>
    <t>Software Spec &amp; Design (CIS 280)</t>
  </si>
  <si>
    <t>Calculus for Applied Science and Engineering I (MTH 153 or MTH 151)</t>
  </si>
  <si>
    <t>Calculus for Applied Science and Engineering II (MTH 154 or MTH 152)</t>
  </si>
  <si>
    <t>Discrete Mathematics I (MTH 181)</t>
  </si>
  <si>
    <t>Discrete Mathematics II (MTH 182)</t>
  </si>
  <si>
    <t>Introduction to Engineering and Computing (EGR 111)</t>
  </si>
  <si>
    <t>Any Elective</t>
  </si>
  <si>
    <t>Math Elective</t>
  </si>
  <si>
    <t>Algorithms &amp; Data Struct (CIS 360)</t>
  </si>
  <si>
    <t>Models of Computation (CIS 361)</t>
  </si>
  <si>
    <t>Design Of Operating Syst (CIS 370)</t>
  </si>
  <si>
    <t>Paral&amp;Distr Sftware Syst (CIS 481)</t>
  </si>
  <si>
    <t>Senior Software Engineering Project I (CIS 498)</t>
  </si>
  <si>
    <t>Senior Software Engineering Project II (CIS 499)</t>
  </si>
  <si>
    <t>Emperical Meth Comp Sci (CIS 362)</t>
  </si>
  <si>
    <t>Computing I (COMP 1010)</t>
  </si>
  <si>
    <t>Computing II (COMP 1020)</t>
  </si>
  <si>
    <t>Computing III (COMP 2010)</t>
  </si>
  <si>
    <t>Computing IV (COMP 2040)</t>
  </si>
  <si>
    <t>Assembly Language Programming (COMP 2030)</t>
  </si>
  <si>
    <t>Logic Design (EECE 2650)</t>
  </si>
  <si>
    <t>College Writing I (ENGL 1010)</t>
  </si>
  <si>
    <t>College Writing II (ENGL 1020)</t>
  </si>
  <si>
    <t>Oral &amp; Written Communication for Computer Science (ENGL 2200)</t>
  </si>
  <si>
    <t>Calculus I (MATH 1310)</t>
  </si>
  <si>
    <t>Calculus II (MATH 1320)</t>
  </si>
  <si>
    <t>Discrete Structures I (MATH 2190)</t>
  </si>
  <si>
    <t>General Elective (any course)</t>
  </si>
  <si>
    <t>Technical Elective (3000 if COMP)</t>
  </si>
  <si>
    <t>Discrete Structures II (MATH 3220)</t>
  </si>
  <si>
    <t>Probability &amp; Statistics I (MATH 3860)</t>
  </si>
  <si>
    <t>Foundations of Computer Science (COMP 3040)</t>
  </si>
  <si>
    <t>Computer Architecture (COMP 3050)</t>
  </si>
  <si>
    <t>Organization of Programming Languages (COMP 3010)</t>
  </si>
  <si>
    <t>Operating Systems (COMP 3080)</t>
  </si>
  <si>
    <t>Analysis of Algorithms (COMP 4040)</t>
  </si>
  <si>
    <t>Computer Science Principles (CAIS 0102)</t>
  </si>
  <si>
    <t>Computer Science/Program Design I (CAIS 0120)</t>
  </si>
  <si>
    <t>Computer Science/Program Design II (CAIS 0220)</t>
  </si>
  <si>
    <t>Data Structures/Algorithm Analysis (CAIS 0230)</t>
  </si>
  <si>
    <t>Computer Organization and Architecture (CAIS 0236)</t>
  </si>
  <si>
    <t>Software Engineering (CAIS 0240)</t>
  </si>
  <si>
    <t>Introduction to Digital Electronics and Microprocessors (CAIS 0265)</t>
  </si>
  <si>
    <t>Introduction to Computer Security (CAIS 0290)</t>
  </si>
  <si>
    <t>Calculus I (MATH 0105)</t>
  </si>
  <si>
    <t>Calculus II (MATH 0106)</t>
  </si>
  <si>
    <t>Discrete Structures (MATH 0220)</t>
  </si>
  <si>
    <t>Applied Statistical and Experimental Design (MATH 0333)</t>
  </si>
  <si>
    <t>Mathematical Statistics I (MATH 0340)</t>
  </si>
  <si>
    <t>Business and Technical Writing (ENGL 0392)</t>
  </si>
  <si>
    <t>Computer Science Seminar (CAIS 0302)</t>
  </si>
  <si>
    <t>Elements of Systems Programming (CAIS 0305)</t>
  </si>
  <si>
    <t>Organization of Programming Languages (CAIS 0307)</t>
  </si>
  <si>
    <t>Database Management (CAIS 0310)</t>
  </si>
  <si>
    <t>Operating Systems (CAIS 0339)</t>
  </si>
  <si>
    <t>Introduction to Networking (CAIS 0347)</t>
  </si>
  <si>
    <t>Introduction to the Theory of Computation (CAIS 0351)</t>
  </si>
  <si>
    <t>Computer Science Senior Project (CAIS 0363)</t>
  </si>
  <si>
    <t>Basics of Computer Science (CS 101)</t>
  </si>
  <si>
    <t xml:space="preserve"> Introduction to Programming (CS 140)</t>
  </si>
  <si>
    <t>Computer Networking and Security (CS 155)</t>
  </si>
  <si>
    <t>Discrete Structures I (CS 225)</t>
  </si>
  <si>
    <t>Discrete Structures II (CS 295)</t>
  </si>
  <si>
    <t>Data Structures (CS 242)</t>
  </si>
  <si>
    <t>Algorithm Analysis (CS 248)</t>
  </si>
  <si>
    <t>Computer Organization and Architecture (CS 254)</t>
  </si>
  <si>
    <t>Unix Systems Programming (CS 282)</t>
  </si>
  <si>
    <t>Database Design and Applications (CS 286)</t>
  </si>
  <si>
    <t>Public Speaking (CM 110)</t>
  </si>
  <si>
    <t>Technical Writing (EN 252)</t>
  </si>
  <si>
    <t>Technology, Public Policy, and Urban Society (UR 230) OR Computing Ethics (PH 134)</t>
  </si>
  <si>
    <t>Calculus I (MA 200)</t>
  </si>
  <si>
    <t>Math/Natural Science Elective</t>
  </si>
  <si>
    <t>Statistics I (MA 150) OR Probability and Statistics (MA 302)</t>
  </si>
  <si>
    <t>Software Process Management (CS 348)</t>
  </si>
  <si>
    <t>Operating Systems (CS 373)</t>
  </si>
  <si>
    <t>MCLA</t>
  </si>
  <si>
    <t>Bridgewater</t>
  </si>
  <si>
    <t>Fitchburg</t>
  </si>
  <si>
    <t>UMass Amherst</t>
  </si>
  <si>
    <t>UMass Dartmouth</t>
  </si>
  <si>
    <t>Salem</t>
  </si>
  <si>
    <t>Westfield</t>
  </si>
  <si>
    <t>Worcester</t>
  </si>
  <si>
    <t>UMass Boston</t>
  </si>
  <si>
    <t>UMass Lowell</t>
  </si>
  <si>
    <t>MassArt</t>
  </si>
  <si>
    <t>Massachusetts Maritime Academy</t>
  </si>
  <si>
    <t>Fundamental Computer Lit, Computer Science I, Computer Science II, Web Development, Data Structures and Algorithms, Spreadsheet/Database, Computer Sci w/ Java, Computer Sci II w/ Java</t>
  </si>
  <si>
    <t>Calc I, Calc II, Phys I, Phys II, Systems, Organization, Electronics,  Structures, CS I, CS II, Discrete, Linear</t>
  </si>
  <si>
    <t>Calc I, Calc II, Phys I, Phys II, CS I, CS II, OOD, Structures, CS Elective, CS Elective, Linear</t>
  </si>
  <si>
    <t>Data Structures and Algorithms, CS Elective, Survey of Computer Science I</t>
  </si>
  <si>
    <t>Microcomputer Applications, Introduction to Programming, Computer Networking and Security, Data Structures, 4 CS Electives</t>
  </si>
  <si>
    <t>Introduction to Java, Introduction to Computing, Introduction to Networks, 9 CS Electives</t>
  </si>
  <si>
    <t>Computing II, Exploring the Internet, Assembly Language Programming, 5 CS Electives</t>
  </si>
  <si>
    <t>Calculus I, Calculus II, Physics I, Physics II, Computer Science I, Computer Science II, Data Structures and Algortithms, Introduction to Computer Organization, 2 CS Electives, Introduction to Linear Algebra, Discrete Mathematics I</t>
  </si>
  <si>
    <t>Calculus I, Calculus II, Physics I, Physics II, Computer Science I, Computer Science II, Algorithms and Data Structures, Digital Electronics, Systems Programming, Computer Organization, Discrete Mathematics, Linear Algebra</t>
  </si>
  <si>
    <t>Calculus I, Calculus II, Physics I, Physics II, Introduction to Programming, Foundations of Programming, Object-Oriented Programming, Data Structures, 2 CS Electives, Introduction to Computation, Intro to Linear Algebra</t>
  </si>
  <si>
    <t>Calculus I, Calculus II, Physics I, Physics II, Object-Ortiented Prog I, Object-Ortiented Prog II, Intro to Procedural Program, Comp Organiztn &amp; Design, Software Specifications and Design, Intro to Computing Systems, Discrete Mathematics I, Linear Algebra</t>
  </si>
  <si>
    <t>None</t>
  </si>
  <si>
    <t>Introduction to Programming, Microcomputer Applications</t>
  </si>
  <si>
    <t>Introduction to Computer Concepts, Introduction to Computing, Introduction to Java, 22 CS Electives</t>
  </si>
  <si>
    <t>Computing I, Computing III, Computing IV, Exploring the Internet, 16 CS Electives</t>
  </si>
  <si>
    <t>Computers/ Appl: An Intro, 40 CS Electives</t>
  </si>
  <si>
    <t>Computer Literacy, Intro Problem Solving w/Computers, Programming w/ Data Structures</t>
  </si>
  <si>
    <t xml:space="preserve">Software Design and Programming I, Computer Security Basics, Survey of Computer Science, Software Design and Programming II, Data Structures and Algorithms, C+C++, 60 CS Electives </t>
  </si>
  <si>
    <t>Data Mining, Introduction to Programming, 7 CS Electives</t>
  </si>
  <si>
    <t>Introduction to Computing, Introduction to Java, 14 CS Electives</t>
  </si>
  <si>
    <t>Computing I, Computing II, Computing III, Computing IV, Exploring the Internet, 38 CS Electives</t>
  </si>
  <si>
    <t>Software Design and Programming I, Software Design and Programming II, Data Structures and Algorithms, 11 CS Electives</t>
  </si>
  <si>
    <t>Microcomputer Applications, Progamming for Non-CS Majors, 1 CS Elective</t>
  </si>
  <si>
    <t xml:space="preserve">Computing I, Computing II, Exploring the Internet, Assembly Language Programming, 16 CS Electives </t>
  </si>
  <si>
    <t>Calc I, Calc II, Phys I, Phys II, CS I, CS II,  Structures, Organization, CS Elective, CS Elective, Linear, Discrete</t>
  </si>
  <si>
    <t>Calc I, Calc II, Phys I, Phys II, CS I, CS II, Structures, Electronics, Systems, Organization, Discrete, Linear</t>
  </si>
  <si>
    <t>Calc I, Calc II, Phys I, Phys II, Intro, Foundations, OOP, Structures, CS Elective, CS Elective, Linear</t>
  </si>
  <si>
    <t>Calc I, Calc II, Phys I, Phys II, OOP I, OOP II, Organization, Systems, Specifications, Procedural Programming, Linear</t>
  </si>
  <si>
    <t>The Personal Computer, Web-Based Application Development, Computer Science I, Data Structures/Algorithm Analysis, Discrete Structures, 5 CS Electives</t>
  </si>
  <si>
    <t>Microcomputer Applications, Progamming for Non-CS Majors, 2 CS Electives</t>
  </si>
  <si>
    <t>5 CS Electives</t>
  </si>
  <si>
    <t>Computing II, 2 CS Electives</t>
  </si>
  <si>
    <t>Computers/ Appl: An Intro, 11 CS Electives</t>
  </si>
  <si>
    <t>Programming w/ Data Structures</t>
  </si>
  <si>
    <t>Microcomputer Applications, Data Structures, Database Applications, Computer Networking and Security, Introduction to Programming, 3 CS Electives</t>
  </si>
  <si>
    <t>Exploring the Internet, 6 CS Electives</t>
  </si>
  <si>
    <t>Calc I, Calc II, Phys I, Phys II, Intro, Foundations, OOP, Structures, CS Elective, CS Elective, Linear, Discrete</t>
  </si>
  <si>
    <t>Calc I, Calc II, Phys I, Phys II, OOP I, OOP II, Organization, Systems, Specifications, Procedural Programming, Discrete</t>
  </si>
  <si>
    <t>Data Mining for Non-CS Majors, Microcomputer Applications, Basics of Computer Science, Introduction to Programming, Data Structures, Discrete Structures II, 6 CS Electives</t>
  </si>
  <si>
    <t>Computing II, Assembly Language Programming, Exploring the Internet, 6 CS Electives</t>
  </si>
  <si>
    <t>Survey of Computer Science, Software Design and Programming I, Software Design and Programming II, Computer Architecture and Organization, 1 CS Elective</t>
  </si>
  <si>
    <t>Microcomputer Applications, Basics of Web Design, Computer Networking Security and Databases, Advanced Web Design, Introduction to Programming, Programming for Non-CS Majors, Data Structures, Unix Systems Programming, Computer Organization and Architecture, 8 Electives</t>
  </si>
  <si>
    <t>Computing I, Computing II, Computing III, Computing IV, Exploring the Internet, Assembly Language Programming, 20 CS Electives</t>
  </si>
  <si>
    <t>Calc I, Calc II, Physics I, Physics II, CS I, CS II, Data Structures, Computer Organization, CS Elective, CS Elective, Discrete, Linear Algebra</t>
  </si>
  <si>
    <t>Calc I, Calc II, Physics I, Physics II, Data Structures, Computer Organization, Digital Electronics, Systems Programming, CS I, CS II, Discrete Math, Linear Algebra</t>
  </si>
  <si>
    <t>Calc I, Calc II, Pys I, Phys II, CS I, CS II, Linear, Structures, CS Elective, OOD, CS Elective</t>
  </si>
  <si>
    <t>Software Design and Programming I, 4 CS Electives</t>
  </si>
  <si>
    <t>Operating Systems, Digital Forensics, Introduction to Programming, Computer Organization and Architecture, Data Structures, 2 CS Electives</t>
  </si>
  <si>
    <t>Computing I, Computing II, Computing III, Assembly Language Programming, 24 CS Electives</t>
  </si>
  <si>
    <t>Computers/ Appl: An Intro, 14 CS Electives</t>
  </si>
  <si>
    <t>1 CS Elective</t>
  </si>
  <si>
    <t>Microcomputer Applications, Programming for Non-CS Majors, Basics of Web Design, Introduction to Programming, Advanced Web Design, 2 CS Electives</t>
  </si>
  <si>
    <t>Exploring the Internet, 17 CS Electives</t>
  </si>
  <si>
    <t>Calc I, Calc II, Physics I, Physics II, Computer Science I, Computer Science II, Data Structures and Algorithms, Introduction to Computer Organization, Discrete Mathematics, 2 CS Electives</t>
  </si>
  <si>
    <t>Calculus I, Calculus II, Physics I, Physics II, Introduction to Programming, Foundations of Programming, Object-Oriented Programming, Data Structures, 2 CS Electives, Intro to Linear Algebra</t>
  </si>
  <si>
    <t>Software Design and Programming I, Software Design and Programming II, Operating System Principles, Data Structures and Algorithms, Computer Networks and Data Communications, Database Systems, Scripting Techniques, Microcomputing Systems, 11 CS Electives</t>
  </si>
  <si>
    <t>Microcomputing Applications, Introduction to Programming, 2 CS Electives</t>
  </si>
  <si>
    <t>Computing I, Computing II, Computing III, Assembly Language Programming, Exploring the Internet, 11 CS Electives</t>
  </si>
  <si>
    <t>Calculus I, Calculus II, Physics I, Physics II, Introduction to Programming, Foundations of Programming, Object-Oriented Programming, Data Structures, 2 CS Electives</t>
  </si>
  <si>
    <t>Survey of Computer Science, Database Systems, Computer Security Basics, Operating System Principles, Software Design and Programming I, Scripting Techniques, Data Structures and Algorithms, Embedded Systems, 18 CS Electives</t>
  </si>
  <si>
    <t>Microcomputing Applications, Basics of Computer Science, Computer Networking and Security, 1 CS Elective</t>
  </si>
  <si>
    <t>Computing I, Computing II, Computing III, Exploring the Internet, Assembly Language Programming, 17 CS Elective</t>
  </si>
  <si>
    <t>Computer Security Basics</t>
  </si>
  <si>
    <t>Computing I, Computing II, Computing III, Assembly Language Programming, Exploring the Internet, 13 CS Electives</t>
  </si>
  <si>
    <t>Computers/ Appl: An Intro, Cobol I, Cobol II, Programming in Basic, 25 CS Electives</t>
  </si>
  <si>
    <t>2 CS Electives</t>
  </si>
  <si>
    <t>Microcomputer Applications, Basics of Computer Science, 4 CS Electives</t>
  </si>
  <si>
    <t>Computing I, Exploring the Internet, 3 CS Electives</t>
  </si>
  <si>
    <t>Microcomputer Applications, Basics of Computer Science, Computer Organization and Architecture</t>
  </si>
  <si>
    <t>Computing I, Computing II, Assembly Language Programming, Intro to Computer Security, Exploring the Internet, 27 CS Electives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</si>
</sst>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font>
    <font>
      <color theme="1"/>
      <name val="Arial"/>
      <scheme val="minor"/>
    </font>
    <font>
      <color rgb="FF000000"/>
      <name val="Arial"/>
    </font>
    <font>
      <u/>
      <color rgb="FF0000FF"/>
    </font>
  </fonts>
  <fills count="16">
    <fill>
      <patternFill patternType="none"/>
    </fill>
    <fill>
      <patternFill patternType="lightGray"/>
    </fill>
    <fill>
      <patternFill patternType="solid">
        <fgColor rgb="FFB4A7D6"/>
        <bgColor rgb="FFB4A7D6"/>
      </patternFill>
    </fill>
    <fill>
      <patternFill patternType="solid">
        <fgColor rgb="FFA4C2F4"/>
        <bgColor rgb="FFA4C2F4"/>
      </patternFill>
    </fill>
    <fill>
      <patternFill patternType="solid">
        <fgColor rgb="FFFFD966"/>
        <bgColor rgb="FFFFD966"/>
      </patternFill>
    </fill>
    <fill>
      <patternFill patternType="solid">
        <fgColor rgb="FFF9CB9C"/>
        <bgColor rgb="FFF9CB9C"/>
      </patternFill>
    </fill>
    <fill>
      <patternFill patternType="solid">
        <fgColor rgb="FFFFE599"/>
        <bgColor rgb="FFFFE599"/>
      </patternFill>
    </fill>
    <fill>
      <patternFill patternType="solid">
        <fgColor rgb="FFB6D7A8"/>
        <bgColor rgb="FFB6D7A8"/>
      </patternFill>
    </fill>
    <fill>
      <patternFill patternType="solid">
        <fgColor rgb="FFD9EAD3"/>
        <bgColor rgb="FFD9EAD3"/>
      </patternFill>
    </fill>
    <fill>
      <patternFill patternType="solid">
        <fgColor rgb="FFA2C4C9"/>
        <bgColor rgb="FFA2C4C9"/>
      </patternFill>
    </fill>
    <fill>
      <patternFill patternType="solid">
        <fgColor rgb="FFFFFFFF"/>
        <bgColor rgb="FFFFFFFF"/>
      </patternFill>
    </fill>
    <fill>
      <patternFill patternType="solid">
        <fgColor rgb="FFD9D2E9"/>
        <bgColor rgb="FFD9D2E9"/>
      </patternFill>
    </fill>
    <fill>
      <patternFill patternType="solid">
        <fgColor rgb="FFC9DAF8"/>
        <bgColor rgb="FFC9DAF8"/>
      </patternFill>
    </fill>
    <fill>
      <patternFill patternType="solid">
        <fgColor rgb="FFEA9999"/>
        <bgColor rgb="FFEA9999"/>
      </patternFill>
    </fill>
    <fill>
      <patternFill patternType="solid">
        <fgColor theme="9"/>
        <bgColor theme="9"/>
      </patternFill>
    </fill>
    <fill>
      <patternFill patternType="solid">
        <fgColor rgb="FFCCCCCC"/>
        <bgColor rgb="FFCCCCCC"/>
      </patternFill>
    </fill>
  </fills>
  <borders count="1">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Alignment="1" applyFont="1">
      <alignment horizontal="center"/>
    </xf>
    <xf borderId="0" fillId="2" fontId="1" numFmtId="0" xfId="0" applyFill="1" applyFont="1"/>
    <xf borderId="0" fillId="3" fontId="1" numFmtId="0" xfId="0" applyFill="1" applyFont="1"/>
    <xf borderId="0" fillId="4" fontId="1" numFmtId="0" xfId="0" applyFill="1" applyFont="1"/>
    <xf borderId="0" fillId="5" fontId="1" numFmtId="0" xfId="0" applyFill="1" applyFont="1"/>
    <xf borderId="0" fillId="2" fontId="1" numFmtId="4" xfId="0" applyFont="1" applyNumberFormat="1"/>
    <xf borderId="0" fillId="3" fontId="1" numFmtId="4" xfId="0" applyFont="1" applyNumberFormat="1"/>
    <xf borderId="0" fillId="4" fontId="1" numFmtId="4" xfId="0" applyFont="1" applyNumberFormat="1"/>
    <xf borderId="0" fillId="5" fontId="1" numFmtId="4" xfId="0" applyFont="1" applyNumberFormat="1"/>
    <xf borderId="0" fillId="0" fontId="1" numFmtId="0" xfId="0" applyFont="1"/>
    <xf borderId="0" fillId="0" fontId="1" numFmtId="4" xfId="0" applyFont="1" applyNumberFormat="1"/>
    <xf borderId="0" fillId="2" fontId="1" numFmtId="0" xfId="0" applyAlignment="1" applyFont="1">
      <alignment readingOrder="0"/>
    </xf>
    <xf borderId="0" fillId="3" fontId="1" numFmtId="0" xfId="0" applyAlignment="1" applyFont="1">
      <alignment readingOrder="0"/>
    </xf>
    <xf borderId="0" fillId="0" fontId="1" numFmtId="10" xfId="0" applyFont="1" applyNumberFormat="1"/>
    <xf borderId="0" fillId="2" fontId="1" numFmtId="10" xfId="0" applyFont="1" applyNumberFormat="1"/>
    <xf borderId="0" fillId="3" fontId="1" numFmtId="10" xfId="0" applyFont="1" applyNumberFormat="1"/>
    <xf borderId="0" fillId="6" fontId="1" numFmtId="10" xfId="0" applyFill="1" applyFont="1" applyNumberFormat="1"/>
    <xf borderId="0" fillId="5" fontId="1" numFmtId="10" xfId="0" applyFont="1" applyNumberFormat="1"/>
    <xf borderId="0" fillId="2" fontId="2" numFmtId="0" xfId="0" applyAlignment="1" applyFont="1">
      <alignment readingOrder="0"/>
    </xf>
    <xf borderId="0" fillId="5" fontId="1" numFmtId="0" xfId="0" applyAlignment="1" applyFont="1">
      <alignment readingOrder="0"/>
    </xf>
    <xf borderId="0" fillId="0" fontId="1" numFmtId="0" xfId="0" applyAlignment="1" applyFont="1">
      <alignment shrinkToFit="0" wrapText="1"/>
    </xf>
    <xf borderId="0" fillId="0" fontId="1" numFmtId="0" xfId="0" applyAlignment="1" applyFont="1">
      <alignment horizontal="left" shrinkToFit="0" wrapText="1"/>
    </xf>
    <xf borderId="0" fillId="6" fontId="1" numFmtId="0" xfId="0" applyAlignment="1" applyFont="1">
      <alignment shrinkToFit="0" wrapText="1"/>
    </xf>
    <xf borderId="0" fillId="3" fontId="1" numFmtId="0" xfId="0" applyAlignment="1" applyFont="1">
      <alignment shrinkToFit="0" wrapText="1"/>
    </xf>
    <xf borderId="0" fillId="7" fontId="1" numFmtId="0" xfId="0" applyAlignment="1" applyFill="1" applyFont="1">
      <alignment shrinkToFit="0" wrapText="1"/>
    </xf>
    <xf borderId="0" fillId="0" fontId="1" numFmtId="0" xfId="0" applyAlignment="1" applyFont="1">
      <alignment shrinkToFit="0" wrapText="0"/>
    </xf>
    <xf borderId="0" fillId="8" fontId="1" numFmtId="0" xfId="0" applyAlignment="1" applyFill="1" applyFont="1">
      <alignment shrinkToFit="0" wrapText="0"/>
    </xf>
    <xf borderId="0" fillId="9" fontId="1" numFmtId="0" xfId="0" applyAlignment="1" applyFill="1" applyFont="1">
      <alignment shrinkToFit="0" wrapText="1"/>
    </xf>
    <xf borderId="0" fillId="0" fontId="1" numFmtId="10" xfId="0" applyAlignment="1" applyFont="1" applyNumberFormat="1">
      <alignment shrinkToFit="0" wrapText="1"/>
    </xf>
    <xf borderId="0" fillId="10" fontId="3" numFmtId="0" xfId="0" applyAlignment="1" applyFill="1" applyFont="1">
      <alignment horizontal="left" shrinkToFit="0" wrapText="0"/>
    </xf>
    <xf borderId="0" fillId="11" fontId="1" numFmtId="0" xfId="0" applyAlignment="1" applyFill="1" applyFont="1">
      <alignment shrinkToFit="0" wrapText="1"/>
    </xf>
    <xf borderId="0" fillId="12" fontId="1" numFmtId="0" xfId="0" applyAlignment="1" applyFill="1" applyFont="1">
      <alignment shrinkToFit="0" wrapText="1"/>
    </xf>
    <xf borderId="0" fillId="6" fontId="1" numFmtId="0" xfId="0" applyFont="1"/>
    <xf borderId="0" fillId="13" fontId="1" numFmtId="0" xfId="0" applyAlignment="1" applyFill="1" applyFont="1">
      <alignment shrinkToFit="0" wrapText="0"/>
    </xf>
    <xf borderId="0" fillId="14" fontId="1" numFmtId="0" xfId="0" applyAlignment="1" applyFill="1" applyFont="1">
      <alignment shrinkToFit="0" wrapText="0"/>
    </xf>
    <xf borderId="0" fillId="3" fontId="1" numFmtId="0" xfId="0" applyAlignment="1" applyFont="1">
      <alignment shrinkToFit="0" wrapText="0"/>
    </xf>
    <xf borderId="0" fillId="15" fontId="1" numFmtId="0" xfId="0" applyAlignment="1" applyFill="1" applyFont="1">
      <alignment shrinkToFit="0" wrapText="0"/>
    </xf>
    <xf borderId="0" fillId="0" fontId="3" numFmtId="0" xfId="0" applyAlignment="1" applyFont="1">
      <alignment horizontal="left" shrinkToFit="0" wrapText="0"/>
    </xf>
    <xf borderId="0" fillId="0" fontId="1" numFmtId="0" xfId="0" applyFont="1"/>
    <xf borderId="0" fillId="7" fontId="1" numFmtId="0" xfId="0" applyFont="1"/>
    <xf borderId="0" fillId="7" fontId="1" numFmtId="0" xfId="0" applyAlignment="1" applyFont="1">
      <alignment shrinkToFit="0" wrapText="0"/>
    </xf>
    <xf borderId="0" fillId="7" fontId="3" numFmtId="0" xfId="0" applyAlignment="1" applyFont="1">
      <alignment horizontal="left" shrinkToFit="0" wrapText="0"/>
    </xf>
    <xf borderId="0" fillId="10" fontId="1" numFmtId="0" xfId="0" applyFont="1"/>
    <xf borderId="0" fillId="0" fontId="4" numFmtId="0" xfId="0" applyAlignment="1" applyFont="1">
      <alignment shrinkToFit="0" wrapText="0"/>
    </xf>
    <xf borderId="0" fillId="3" fontId="1" numFmtId="0" xfId="0" applyAlignment="1" applyFont="1">
      <alignment horizontal="left" shrinkToFit="0" wrapText="1"/>
    </xf>
    <xf borderId="0" fillId="0" fontId="1" numFmtId="0" xfId="0" applyAlignment="1" applyFont="1">
      <alignment readingOrder="0" shrinkToFit="0" wrapText="1"/>
    </xf>
  </cellXfs>
  <cellStyles count="1">
    <cellStyle xfId="0" name="Normal" builtinId="0"/>
  </cellStyles>
  <dxfs count="6">
    <dxf>
      <font/>
      <fill>
        <patternFill patternType="solid">
          <fgColor rgb="FFB6D7A8"/>
          <bgColor rgb="FFB6D7A8"/>
        </patternFill>
      </fill>
      <border/>
    </dxf>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B7E1CD"/>
          <bgColor rgb="FFB7E1CD"/>
        </patternFill>
      </fill>
      <border/>
    </dxf>
  </dxfs>
  <tableStyles count="2">
    <tableStyle count="3" pivot="0" name="Fitchburg-style">
      <tableStyleElement dxfId="2" type="headerRow"/>
      <tableStyleElement dxfId="3" type="firstRowStripe"/>
      <tableStyleElement dxfId="4" type="secondRowStripe"/>
    </tableStyle>
    <tableStyle count="3" pivot="0" name="Framingham-style">
      <tableStyleElement dxfId="2" type="headerRow"/>
      <tableStyleElement dxfId="3" type="firstRowStripe"/>
      <tableStyleElement dxfId="4"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comments8.xml.rels><?xml version="1.0" encoding="UTF-8" standalone="yes"?><Relationships xmlns="http://schemas.openxmlformats.org/package/2006/relationships"><Relationship Id="rId1" Type="http://customschemas.google.com/relationships/workbookmetadata" Target="commentsmeta7"/></Relationships>
</file>

<file path=xl/_rels/comments9.xml.rels><?xml version="1.0" encoding="UTF-8" standalone="yes"?><Relationships xmlns="http://schemas.openxmlformats.org/package/2006/relationships"><Relationship Id="rId1" Type="http://customschemas.google.com/relationships/workbookmetadata" Target="commentsmeta8"/></Relationships>
</file>

<file path=xl/_rels/comments10.xml.rels><?xml version="1.0" encoding="UTF-8" standalone="yes"?><Relationships xmlns="http://schemas.openxmlformats.org/package/2006/relationships"><Relationship Id="rId1" Type="http://customschemas.google.com/relationships/workbookmetadata" Target="commentsmeta9"/></Relationships>
</file>

<file path=xl/_rels/comments11.xml.rels><?xml version="1.0" encoding="UTF-8" standalone="yes"?><Relationships xmlns="http://schemas.openxmlformats.org/package/2006/relationships"><Relationship Id="rId1" Type="http://customschemas.google.com/relationships/workbookmetadata" Target="commentsmeta1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I19" displayName="Table_1" name="Table_1" id="1">
  <tableColumns count="1">
    <tableColumn name="Column1" id="1"/>
  </tableColumns>
  <tableStyleInfo name="Fitchburg-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I19" displayName="Table_2" name="Table_2" id="2">
  <tableColumns count="1">
    <tableColumn name="Column1" id="1"/>
  </tableColumns>
  <tableStyleInfo name="Framingham-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 Id="rId5"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tes.collegesource.com/publicview/TES_publicview01.aspx?rid=ce2341e2-fb67-4e2c-aace-b76202fad4d6&amp;aid=ac739ed7-064c-4a58-98ad-39af492aa16c" TargetMode="External"/><Relationship Id="rId3" Type="http://schemas.openxmlformats.org/officeDocument/2006/relationships/drawing" Target="../drawings/drawing6.xml"/><Relationship Id="rId4"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xml"/><Relationship Id="rId3"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8.xml"/><Relationship Id="rId3"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9.xml"/><Relationship Id="rId3"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0.xml"/><Relationship Id="rId3"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3.xml"/><Relationship Id="rId3"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25"/>
    <col customWidth="1" min="2" max="6" width="12.63"/>
  </cols>
  <sheetData>
    <row r="1" ht="15.75" customHeight="1">
      <c r="B1" s="1" t="s">
        <v>0</v>
      </c>
    </row>
    <row r="2" ht="15.75" customHeight="1">
      <c r="B2" s="2" t="s">
        <v>1</v>
      </c>
      <c r="C2" s="3" t="s">
        <v>2</v>
      </c>
      <c r="D2" s="4" t="s">
        <v>3</v>
      </c>
      <c r="E2" s="5" t="s">
        <v>4</v>
      </c>
      <c r="F2" s="6" t="s">
        <v>1</v>
      </c>
      <c r="G2" s="7" t="s">
        <v>2</v>
      </c>
      <c r="H2" s="8" t="s">
        <v>3</v>
      </c>
      <c r="I2" s="9" t="s">
        <v>4</v>
      </c>
    </row>
    <row r="3" ht="15.75" customHeight="1">
      <c r="A3" s="10" t="s">
        <v>5</v>
      </c>
      <c r="B3" s="2">
        <v>60.0</v>
      </c>
      <c r="C3" s="3">
        <v>75.0</v>
      </c>
      <c r="D3" s="4">
        <v>30.0</v>
      </c>
      <c r="E3" s="5"/>
      <c r="F3" s="11">
        <f t="shared" ref="F3:H3" si="1">B4/B3</f>
        <v>0.7166666667</v>
      </c>
      <c r="G3" s="11">
        <f t="shared" si="1"/>
        <v>0.6533333333</v>
      </c>
      <c r="H3" s="11">
        <f t="shared" si="1"/>
        <v>1</v>
      </c>
      <c r="I3" s="11"/>
    </row>
    <row r="4" ht="15.75" customHeight="1">
      <c r="A4" s="10" t="s">
        <v>6</v>
      </c>
      <c r="B4" s="2">
        <v>43.0</v>
      </c>
      <c r="C4" s="3">
        <v>49.0</v>
      </c>
      <c r="D4" s="4">
        <v>30.0</v>
      </c>
      <c r="E4" s="5"/>
      <c r="F4" s="11"/>
      <c r="G4" s="11"/>
      <c r="H4" s="11"/>
      <c r="I4" s="11"/>
    </row>
    <row r="5" ht="15.75" customHeight="1">
      <c r="A5" s="10" t="s">
        <v>7</v>
      </c>
      <c r="B5" s="12">
        <v>75.0</v>
      </c>
      <c r="C5" s="13">
        <v>90.0</v>
      </c>
      <c r="D5" s="4">
        <v>30.0</v>
      </c>
      <c r="E5" s="5"/>
      <c r="F5" s="11">
        <f t="shared" ref="F5:H5" si="2">B6/B5</f>
        <v>0.8533333333</v>
      </c>
      <c r="G5" s="11">
        <f t="shared" si="2"/>
        <v>0.9666666667</v>
      </c>
      <c r="H5" s="11">
        <f t="shared" si="2"/>
        <v>1</v>
      </c>
      <c r="I5" s="11"/>
    </row>
    <row r="6" ht="15.75" customHeight="1">
      <c r="A6" s="10" t="s">
        <v>8</v>
      </c>
      <c r="B6" s="12">
        <v>64.0</v>
      </c>
      <c r="C6" s="13">
        <v>87.0</v>
      </c>
      <c r="D6" s="4">
        <v>30.0</v>
      </c>
      <c r="E6" s="5"/>
      <c r="F6" s="11"/>
      <c r="G6" s="11"/>
      <c r="H6" s="11"/>
      <c r="I6" s="11"/>
    </row>
    <row r="7" ht="15.75" customHeight="1">
      <c r="A7" s="10" t="s">
        <v>9</v>
      </c>
      <c r="B7" s="12">
        <v>60.0</v>
      </c>
      <c r="C7" s="13">
        <v>45.0</v>
      </c>
      <c r="D7" s="4">
        <v>15.0</v>
      </c>
      <c r="E7" s="5"/>
      <c r="F7" s="11">
        <f t="shared" ref="F7:H7" si="3">B8/B7</f>
        <v>0.1666666667</v>
      </c>
      <c r="G7" s="11">
        <f t="shared" si="3"/>
        <v>0.1333333333</v>
      </c>
      <c r="H7" s="11">
        <f t="shared" si="3"/>
        <v>1</v>
      </c>
      <c r="I7" s="11"/>
    </row>
    <row r="8" ht="15.75" customHeight="1">
      <c r="A8" s="10" t="s">
        <v>10</v>
      </c>
      <c r="B8" s="12">
        <v>10.0</v>
      </c>
      <c r="C8" s="13">
        <v>6.0</v>
      </c>
      <c r="D8" s="4">
        <v>15.0</v>
      </c>
      <c r="E8" s="5"/>
      <c r="F8" s="11"/>
      <c r="G8" s="11"/>
      <c r="H8" s="11"/>
      <c r="I8" s="11"/>
    </row>
    <row r="9" ht="15.75" customHeight="1">
      <c r="A9" s="10" t="s">
        <v>11</v>
      </c>
      <c r="B9" s="2">
        <v>150.0</v>
      </c>
      <c r="C9" s="3">
        <v>15.0</v>
      </c>
      <c r="D9" s="4">
        <v>15.0</v>
      </c>
      <c r="E9" s="5">
        <v>15.0</v>
      </c>
      <c r="F9" s="11">
        <f t="shared" ref="F9:I9" si="4">B10/B9</f>
        <v>0.1866666667</v>
      </c>
      <c r="G9" s="11">
        <f t="shared" si="4"/>
        <v>0.4</v>
      </c>
      <c r="H9" s="11">
        <f t="shared" si="4"/>
        <v>0.9333333333</v>
      </c>
      <c r="I9" s="11">
        <f t="shared" si="4"/>
        <v>0.6666666667</v>
      </c>
    </row>
    <row r="10" ht="15.75" customHeight="1">
      <c r="A10" s="10" t="s">
        <v>12</v>
      </c>
      <c r="B10" s="2">
        <v>28.0</v>
      </c>
      <c r="C10" s="3">
        <v>6.0</v>
      </c>
      <c r="D10" s="4">
        <v>14.0</v>
      </c>
      <c r="E10" s="5">
        <v>10.0</v>
      </c>
      <c r="F10" s="11"/>
      <c r="G10" s="11"/>
      <c r="H10" s="11"/>
      <c r="I10" s="11"/>
    </row>
    <row r="11" ht="15.75" customHeight="1">
      <c r="A11" s="10" t="s">
        <v>13</v>
      </c>
      <c r="B11" s="2">
        <v>135.0</v>
      </c>
      <c r="C11" s="3">
        <v>60.0</v>
      </c>
      <c r="D11" s="4">
        <v>60.0</v>
      </c>
      <c r="E11" s="5"/>
      <c r="F11" s="11">
        <f t="shared" ref="F11:H11" si="5">B12/B11</f>
        <v>0.2962962963</v>
      </c>
      <c r="G11" s="11">
        <f t="shared" si="5"/>
        <v>0.8166666667</v>
      </c>
      <c r="H11" s="11">
        <f t="shared" si="5"/>
        <v>1</v>
      </c>
      <c r="I11" s="11"/>
    </row>
    <row r="12" ht="15.75" customHeight="1">
      <c r="A12" s="10" t="s">
        <v>14</v>
      </c>
      <c r="B12" s="2">
        <v>40.0</v>
      </c>
      <c r="C12" s="3">
        <v>49.0</v>
      </c>
      <c r="D12" s="4">
        <v>60.0</v>
      </c>
      <c r="E12" s="5"/>
      <c r="F12" s="11"/>
      <c r="G12" s="11"/>
      <c r="H12" s="11"/>
      <c r="I12" s="11"/>
    </row>
    <row r="13" ht="15.75" customHeight="1">
      <c r="A13" s="10" t="s">
        <v>15</v>
      </c>
      <c r="B13" s="2">
        <v>120.0</v>
      </c>
      <c r="C13" s="3">
        <v>60.0</v>
      </c>
      <c r="D13" s="4">
        <v>30.0</v>
      </c>
      <c r="E13" s="5"/>
      <c r="F13" s="11">
        <f t="shared" ref="F13:H13" si="6">B14/B13</f>
        <v>0.4</v>
      </c>
      <c r="G13" s="11">
        <f t="shared" si="6"/>
        <v>0.9833333333</v>
      </c>
      <c r="H13" s="11">
        <f t="shared" si="6"/>
        <v>1</v>
      </c>
      <c r="I13" s="11"/>
    </row>
    <row r="14" ht="15.75" customHeight="1">
      <c r="A14" s="10" t="s">
        <v>16</v>
      </c>
      <c r="B14" s="2">
        <v>48.0</v>
      </c>
      <c r="C14" s="3">
        <v>59.0</v>
      </c>
      <c r="D14" s="4">
        <v>30.0</v>
      </c>
      <c r="E14" s="5"/>
      <c r="F14" s="11"/>
      <c r="G14" s="11"/>
      <c r="H14" s="11"/>
      <c r="I14" s="11"/>
    </row>
    <row r="15" ht="15.75" customHeight="1">
      <c r="A15" s="10" t="s">
        <v>17</v>
      </c>
      <c r="B15" s="12">
        <v>60.0</v>
      </c>
      <c r="C15" s="13">
        <v>60.0</v>
      </c>
      <c r="D15" s="4">
        <v>30.0</v>
      </c>
      <c r="E15" s="5"/>
      <c r="F15" s="11">
        <f t="shared" ref="F15:H15" si="7">B16/B15</f>
        <v>0.3166666667</v>
      </c>
      <c r="G15" s="11">
        <f t="shared" si="7"/>
        <v>0.5833333333</v>
      </c>
      <c r="H15" s="11">
        <f t="shared" si="7"/>
        <v>0.5333333333</v>
      </c>
      <c r="I15" s="11"/>
    </row>
    <row r="16" ht="15.75" customHeight="1">
      <c r="A16" s="10" t="s">
        <v>18</v>
      </c>
      <c r="B16" s="12">
        <v>19.0</v>
      </c>
      <c r="C16" s="13">
        <v>35.0</v>
      </c>
      <c r="D16" s="4">
        <v>16.0</v>
      </c>
      <c r="E16" s="5"/>
      <c r="F16" s="11"/>
      <c r="G16" s="11"/>
      <c r="H16" s="11"/>
      <c r="I16" s="11"/>
    </row>
    <row r="17" ht="15.75" customHeight="1">
      <c r="A17" s="10" t="s">
        <v>19</v>
      </c>
      <c r="B17" s="2">
        <v>90.0</v>
      </c>
      <c r="C17" s="3">
        <v>75.0</v>
      </c>
      <c r="D17" s="4">
        <v>60.0</v>
      </c>
      <c r="E17" s="5">
        <v>15.0</v>
      </c>
      <c r="F17" s="11">
        <f t="shared" ref="F17:I17" si="8">B18/B17</f>
        <v>0.6555555556</v>
      </c>
      <c r="G17" s="11">
        <f t="shared" si="8"/>
        <v>0.52</v>
      </c>
      <c r="H17" s="11">
        <f t="shared" si="8"/>
        <v>0.7833333333</v>
      </c>
      <c r="I17" s="11">
        <f t="shared" si="8"/>
        <v>1</v>
      </c>
    </row>
    <row r="18" ht="15.75" customHeight="1">
      <c r="A18" s="10" t="s">
        <v>20</v>
      </c>
      <c r="B18" s="2">
        <v>59.0</v>
      </c>
      <c r="C18" s="3">
        <v>39.0</v>
      </c>
      <c r="D18" s="4">
        <v>47.0</v>
      </c>
      <c r="E18" s="5">
        <v>15.0</v>
      </c>
      <c r="F18" s="11"/>
      <c r="G18" s="11"/>
      <c r="H18" s="11"/>
      <c r="I18" s="11"/>
    </row>
    <row r="19" ht="15.75" customHeight="1">
      <c r="A19" s="10" t="s">
        <v>21</v>
      </c>
      <c r="B19" s="2">
        <v>90.0</v>
      </c>
      <c r="C19" s="3">
        <v>45.0</v>
      </c>
      <c r="D19" s="4">
        <v>90.0</v>
      </c>
      <c r="E19" s="5">
        <v>45.0</v>
      </c>
      <c r="F19" s="11">
        <f t="shared" ref="F19:I19" si="9">B20/B19</f>
        <v>0.6111111111</v>
      </c>
      <c r="G19" s="11">
        <f t="shared" si="9"/>
        <v>0.8666666667</v>
      </c>
      <c r="H19" s="11">
        <f t="shared" si="9"/>
        <v>0.9666666667</v>
      </c>
      <c r="I19" s="11">
        <f t="shared" si="9"/>
        <v>1</v>
      </c>
    </row>
    <row r="20" ht="15.75" customHeight="1">
      <c r="A20" s="10" t="s">
        <v>22</v>
      </c>
      <c r="B20" s="2">
        <v>55.0</v>
      </c>
      <c r="C20" s="3">
        <v>39.0</v>
      </c>
      <c r="D20" s="4">
        <v>87.0</v>
      </c>
      <c r="E20" s="5">
        <v>45.0</v>
      </c>
      <c r="F20" s="11"/>
      <c r="G20" s="11"/>
      <c r="H20" s="11"/>
      <c r="I20" s="11"/>
    </row>
    <row r="21" ht="15.75" customHeight="1">
      <c r="A21" s="10" t="s">
        <v>23</v>
      </c>
      <c r="B21" s="2">
        <v>120.0</v>
      </c>
      <c r="C21" s="3">
        <v>45.0</v>
      </c>
      <c r="D21" s="4">
        <v>30.0</v>
      </c>
      <c r="E21" s="5">
        <v>15.0</v>
      </c>
      <c r="F21" s="11">
        <f t="shared" ref="F21:I21" si="10">B22/B21</f>
        <v>0.1583333333</v>
      </c>
      <c r="G21" s="11">
        <f t="shared" si="10"/>
        <v>0.8444444444</v>
      </c>
      <c r="H21" s="11">
        <f t="shared" si="10"/>
        <v>1</v>
      </c>
      <c r="I21" s="11">
        <f t="shared" si="10"/>
        <v>1</v>
      </c>
    </row>
    <row r="22" ht="15.75" customHeight="1">
      <c r="A22" s="10" t="s">
        <v>24</v>
      </c>
      <c r="B22" s="2">
        <v>19.0</v>
      </c>
      <c r="C22" s="3">
        <v>38.0</v>
      </c>
      <c r="D22" s="4">
        <v>30.0</v>
      </c>
      <c r="E22" s="5">
        <v>15.0</v>
      </c>
      <c r="F22" s="11"/>
      <c r="G22" s="11"/>
      <c r="H22" s="11"/>
      <c r="I22" s="11"/>
    </row>
    <row r="23" ht="15.75" customHeight="1">
      <c r="A23" s="10" t="s">
        <v>25</v>
      </c>
      <c r="B23" s="12">
        <v>120.0</v>
      </c>
      <c r="C23" s="13">
        <v>60.0</v>
      </c>
      <c r="D23" s="4">
        <v>45.0</v>
      </c>
      <c r="E23" s="5">
        <v>45.0</v>
      </c>
      <c r="F23" s="11">
        <f t="shared" ref="F23:I23" si="11">B24/B23</f>
        <v>0.2833333333</v>
      </c>
      <c r="G23" s="11">
        <f t="shared" si="11"/>
        <v>0.55</v>
      </c>
      <c r="H23" s="11">
        <f t="shared" si="11"/>
        <v>1</v>
      </c>
      <c r="I23" s="11">
        <f t="shared" si="11"/>
        <v>0.4666666667</v>
      </c>
    </row>
    <row r="24" ht="15.75" customHeight="1">
      <c r="A24" s="10" t="s">
        <v>26</v>
      </c>
      <c r="B24" s="12">
        <v>34.0</v>
      </c>
      <c r="C24" s="13">
        <v>33.0</v>
      </c>
      <c r="D24" s="4">
        <v>45.0</v>
      </c>
      <c r="E24" s="5">
        <v>21.0</v>
      </c>
      <c r="F24" s="14"/>
      <c r="G24" s="14"/>
      <c r="H24" s="14"/>
      <c r="I24" s="14"/>
    </row>
    <row r="25" ht="15.75" customHeight="1">
      <c r="A25" s="10" t="s">
        <v>27</v>
      </c>
      <c r="B25" s="2"/>
      <c r="C25" s="3"/>
      <c r="D25" s="4"/>
      <c r="E25" s="5"/>
      <c r="F25" s="15">
        <f t="shared" ref="F25:I25" si="12">AVERAGE(F3:F24)</f>
        <v>0.4222390572</v>
      </c>
      <c r="G25" s="16">
        <f t="shared" si="12"/>
        <v>0.6652525253</v>
      </c>
      <c r="H25" s="17">
        <f t="shared" si="12"/>
        <v>0.9287878788</v>
      </c>
      <c r="I25" s="18">
        <f t="shared" si="12"/>
        <v>0.8266666667</v>
      </c>
    </row>
    <row r="26" ht="15.75" customHeight="1"/>
    <row r="27" ht="15.75" customHeight="1"/>
    <row r="28" ht="15.75" customHeight="1"/>
    <row r="29" ht="15.75" customHeight="1"/>
    <row r="30" ht="15.75" customHeight="1"/>
    <row r="31" ht="15.75" customHeight="1"/>
    <row r="32" ht="15.75" customHeight="1">
      <c r="B32" s="1" t="s">
        <v>28</v>
      </c>
    </row>
    <row r="33" ht="15.75" customHeight="1">
      <c r="B33" s="2" t="s">
        <v>1</v>
      </c>
      <c r="C33" s="3" t="s">
        <v>2</v>
      </c>
      <c r="D33" s="4" t="s">
        <v>3</v>
      </c>
      <c r="E33" s="5" t="s">
        <v>4</v>
      </c>
      <c r="F33" s="6" t="s">
        <v>1</v>
      </c>
      <c r="G33" s="7" t="s">
        <v>2</v>
      </c>
      <c r="H33" s="8" t="s">
        <v>3</v>
      </c>
      <c r="I33" s="9" t="s">
        <v>4</v>
      </c>
    </row>
    <row r="34" ht="15.75" customHeight="1">
      <c r="A34" s="10" t="s">
        <v>5</v>
      </c>
      <c r="B34" s="12">
        <v>210.0</v>
      </c>
      <c r="C34" s="3">
        <v>75.0</v>
      </c>
      <c r="D34" s="4">
        <v>30.0</v>
      </c>
      <c r="E34" s="5"/>
      <c r="F34" s="11">
        <f t="shared" ref="F34:H34" si="13">B35/B34</f>
        <v>0.3</v>
      </c>
      <c r="G34" s="11">
        <f t="shared" si="13"/>
        <v>0.6533333333</v>
      </c>
      <c r="H34" s="11">
        <f t="shared" si="13"/>
        <v>1</v>
      </c>
      <c r="I34" s="11"/>
    </row>
    <row r="35" ht="15.75" customHeight="1">
      <c r="A35" s="10" t="s">
        <v>6</v>
      </c>
      <c r="B35" s="12">
        <v>63.0</v>
      </c>
      <c r="C35" s="3">
        <v>49.0</v>
      </c>
      <c r="D35" s="4">
        <v>30.0</v>
      </c>
      <c r="E35" s="5"/>
      <c r="F35" s="11"/>
      <c r="G35" s="11"/>
      <c r="H35" s="11"/>
      <c r="I35" s="11"/>
    </row>
    <row r="36" ht="15.75" customHeight="1">
      <c r="A36" s="10" t="s">
        <v>7</v>
      </c>
      <c r="B36" s="12">
        <v>240.0</v>
      </c>
      <c r="C36" s="13">
        <v>90.0</v>
      </c>
      <c r="D36" s="4">
        <v>30.0</v>
      </c>
      <c r="E36" s="5"/>
      <c r="F36" s="11">
        <f t="shared" ref="F36:H36" si="14">B37/B36</f>
        <v>0.5791666667</v>
      </c>
      <c r="G36" s="11">
        <f t="shared" si="14"/>
        <v>0.9666666667</v>
      </c>
      <c r="H36" s="11">
        <f t="shared" si="14"/>
        <v>1</v>
      </c>
      <c r="I36" s="11"/>
    </row>
    <row r="37" ht="15.75" customHeight="1">
      <c r="A37" s="10" t="s">
        <v>8</v>
      </c>
      <c r="B37" s="12">
        <v>139.0</v>
      </c>
      <c r="C37" s="13">
        <v>87.0</v>
      </c>
      <c r="D37" s="4">
        <v>30.0</v>
      </c>
      <c r="E37" s="5"/>
      <c r="F37" s="11"/>
      <c r="G37" s="11"/>
      <c r="H37" s="11"/>
      <c r="I37" s="11"/>
    </row>
    <row r="38" ht="15.75" customHeight="1">
      <c r="A38" s="10" t="s">
        <v>9</v>
      </c>
      <c r="B38" s="19">
        <v>255.0</v>
      </c>
      <c r="C38" s="13">
        <v>45.0</v>
      </c>
      <c r="D38" s="4">
        <v>15.0</v>
      </c>
      <c r="E38" s="5"/>
      <c r="F38" s="11">
        <f t="shared" ref="F38:H38" si="15">B39/B38</f>
        <v>0.05490196078</v>
      </c>
      <c r="G38" s="11">
        <f t="shared" si="15"/>
        <v>0.1333333333</v>
      </c>
      <c r="H38" s="11">
        <f t="shared" si="15"/>
        <v>1</v>
      </c>
    </row>
    <row r="39" ht="15.75" customHeight="1">
      <c r="A39" s="10" t="s">
        <v>10</v>
      </c>
      <c r="B39" s="19">
        <v>14.0</v>
      </c>
      <c r="C39" s="13">
        <v>6.0</v>
      </c>
      <c r="D39" s="4">
        <v>15.0</v>
      </c>
      <c r="E39" s="5"/>
      <c r="G39" s="11"/>
      <c r="H39" s="11"/>
    </row>
    <row r="40" ht="15.75" customHeight="1">
      <c r="A40" s="10" t="s">
        <v>11</v>
      </c>
      <c r="B40" s="12">
        <v>330.0</v>
      </c>
      <c r="C40" s="3">
        <v>15.0</v>
      </c>
      <c r="D40" s="4">
        <v>15.0</v>
      </c>
      <c r="E40" s="20">
        <v>15.0</v>
      </c>
      <c r="F40" s="11">
        <f t="shared" ref="F40:I40" si="16">B41/B40</f>
        <v>0.1090909091</v>
      </c>
      <c r="G40" s="11">
        <f t="shared" si="16"/>
        <v>0.4</v>
      </c>
      <c r="H40" s="11">
        <f t="shared" si="16"/>
        <v>0.9333333333</v>
      </c>
      <c r="I40" s="11">
        <f t="shared" si="16"/>
        <v>0.6666666667</v>
      </c>
    </row>
    <row r="41" ht="15.75" customHeight="1">
      <c r="A41" s="10" t="s">
        <v>12</v>
      </c>
      <c r="B41" s="12">
        <v>36.0</v>
      </c>
      <c r="C41" s="3">
        <v>6.0</v>
      </c>
      <c r="D41" s="4">
        <v>14.0</v>
      </c>
      <c r="E41" s="20">
        <v>10.0</v>
      </c>
      <c r="F41" s="11"/>
      <c r="G41" s="11"/>
      <c r="H41" s="11"/>
      <c r="I41" s="11"/>
    </row>
    <row r="42" ht="15.75" customHeight="1">
      <c r="A42" s="10" t="s">
        <v>13</v>
      </c>
      <c r="B42" s="12">
        <v>225.0</v>
      </c>
      <c r="C42" s="13">
        <v>75.0</v>
      </c>
      <c r="D42" s="4">
        <v>60.0</v>
      </c>
      <c r="E42" s="5"/>
      <c r="F42" s="11">
        <f t="shared" ref="F42:H42" si="17">B43/B42</f>
        <v>0.2</v>
      </c>
      <c r="G42" s="11">
        <f t="shared" si="17"/>
        <v>0.8266666667</v>
      </c>
      <c r="H42" s="11">
        <f t="shared" si="17"/>
        <v>1</v>
      </c>
      <c r="I42" s="11"/>
    </row>
    <row r="43" ht="15.75" customHeight="1">
      <c r="A43" s="10" t="s">
        <v>14</v>
      </c>
      <c r="B43" s="12">
        <v>45.0</v>
      </c>
      <c r="C43" s="13">
        <v>62.0</v>
      </c>
      <c r="D43" s="4">
        <v>60.0</v>
      </c>
      <c r="E43" s="5"/>
      <c r="F43" s="11"/>
      <c r="G43" s="11"/>
      <c r="H43" s="11"/>
      <c r="I43" s="11"/>
    </row>
    <row r="44" ht="15.75" customHeight="1">
      <c r="A44" s="10" t="s">
        <v>15</v>
      </c>
      <c r="B44" s="12">
        <v>240.0</v>
      </c>
      <c r="C44" s="3">
        <v>60.0</v>
      </c>
      <c r="D44" s="4">
        <v>30.0</v>
      </c>
      <c r="E44" s="5"/>
      <c r="F44" s="11">
        <f t="shared" ref="F44:G44" si="18">B45/B44</f>
        <v>0.2458333333</v>
      </c>
      <c r="G44" s="11">
        <f t="shared" si="18"/>
        <v>0.9833333333</v>
      </c>
      <c r="H44" s="11">
        <f>D43/D42</f>
        <v>1</v>
      </c>
      <c r="I44" s="11"/>
    </row>
    <row r="45" ht="15.75" customHeight="1">
      <c r="A45" s="10" t="s">
        <v>16</v>
      </c>
      <c r="B45" s="12">
        <v>59.0</v>
      </c>
      <c r="C45" s="3">
        <v>59.0</v>
      </c>
      <c r="D45" s="4">
        <v>30.0</v>
      </c>
      <c r="E45" s="5"/>
      <c r="F45" s="11"/>
      <c r="G45" s="11"/>
      <c r="H45" s="11"/>
      <c r="I45" s="11"/>
    </row>
    <row r="46" ht="15.75" customHeight="1">
      <c r="A46" s="10" t="s">
        <v>17</v>
      </c>
      <c r="B46" s="12">
        <v>210.0</v>
      </c>
      <c r="C46" s="13">
        <v>75.0</v>
      </c>
      <c r="D46" s="4">
        <v>30.0</v>
      </c>
      <c r="E46" s="5"/>
      <c r="F46" s="11">
        <f t="shared" ref="F46:G46" si="19">B47/B46</f>
        <v>0.09047619048</v>
      </c>
      <c r="G46" s="11">
        <f t="shared" si="19"/>
        <v>0.4666666667</v>
      </c>
      <c r="H46" s="11">
        <f>D45/D44</f>
        <v>1</v>
      </c>
      <c r="I46" s="11"/>
    </row>
    <row r="47" ht="15.75" customHeight="1">
      <c r="A47" s="10" t="s">
        <v>18</v>
      </c>
      <c r="B47" s="12">
        <v>19.0</v>
      </c>
      <c r="C47" s="13">
        <v>35.0</v>
      </c>
      <c r="D47" s="4">
        <v>16.0</v>
      </c>
      <c r="E47" s="5"/>
      <c r="F47" s="11"/>
      <c r="G47" s="11"/>
      <c r="H47" s="11"/>
      <c r="I47" s="11"/>
    </row>
    <row r="48" ht="15.75" customHeight="1">
      <c r="A48" s="10" t="s">
        <v>19</v>
      </c>
      <c r="B48" s="12">
        <v>315.0</v>
      </c>
      <c r="C48" s="3">
        <v>75.0</v>
      </c>
      <c r="D48" s="4">
        <v>60.0</v>
      </c>
      <c r="E48" s="5">
        <v>15.0</v>
      </c>
      <c r="F48" s="11">
        <f t="shared" ref="F48:G48" si="20">B49/B48</f>
        <v>0.2158730159</v>
      </c>
      <c r="G48" s="11">
        <f t="shared" si="20"/>
        <v>0.52</v>
      </c>
      <c r="H48" s="11">
        <f>D47/D46</f>
        <v>0.5333333333</v>
      </c>
      <c r="I48" s="11">
        <f>E49/E48</f>
        <v>1</v>
      </c>
    </row>
    <row r="49" ht="15.75" customHeight="1">
      <c r="A49" s="10" t="s">
        <v>20</v>
      </c>
      <c r="B49" s="12">
        <v>68.0</v>
      </c>
      <c r="C49" s="3">
        <v>39.0</v>
      </c>
      <c r="D49" s="4">
        <v>47.0</v>
      </c>
      <c r="E49" s="5">
        <v>15.0</v>
      </c>
      <c r="F49" s="11"/>
      <c r="G49" s="11"/>
      <c r="H49" s="11"/>
      <c r="I49" s="11"/>
    </row>
    <row r="50" ht="15.75" customHeight="1">
      <c r="A50" s="10" t="s">
        <v>21</v>
      </c>
      <c r="B50" s="12">
        <v>195.0</v>
      </c>
      <c r="C50" s="13">
        <v>75.0</v>
      </c>
      <c r="D50" s="4">
        <v>90.0</v>
      </c>
      <c r="E50" s="5">
        <v>45.0</v>
      </c>
      <c r="F50" s="11">
        <f t="shared" ref="F50:G50" si="21">B51/B50</f>
        <v>0.2871794872</v>
      </c>
      <c r="G50" s="11">
        <f t="shared" si="21"/>
        <v>0.52</v>
      </c>
      <c r="H50" s="11">
        <f>D49/D48</f>
        <v>0.7833333333</v>
      </c>
      <c r="I50" s="11">
        <f>E51/E50</f>
        <v>1</v>
      </c>
    </row>
    <row r="51" ht="15.75" customHeight="1">
      <c r="A51" s="10" t="s">
        <v>22</v>
      </c>
      <c r="B51" s="12">
        <v>56.0</v>
      </c>
      <c r="C51" s="13">
        <v>39.0</v>
      </c>
      <c r="D51" s="4">
        <v>87.0</v>
      </c>
      <c r="E51" s="5">
        <v>45.0</v>
      </c>
      <c r="F51" s="11"/>
      <c r="G51" s="11"/>
      <c r="H51" s="11"/>
      <c r="I51" s="11"/>
    </row>
    <row r="52" ht="15.75" customHeight="1">
      <c r="A52" s="10" t="s">
        <v>23</v>
      </c>
      <c r="B52" s="12">
        <v>270.0</v>
      </c>
      <c r="C52" s="13">
        <v>75.0</v>
      </c>
      <c r="D52" s="4">
        <v>30.0</v>
      </c>
      <c r="E52" s="20">
        <v>30.0</v>
      </c>
      <c r="F52" s="11">
        <f t="shared" ref="F52:G52" si="22">B53/B52</f>
        <v>0.1074074074</v>
      </c>
      <c r="G52" s="11">
        <f t="shared" si="22"/>
        <v>0.5333333333</v>
      </c>
      <c r="H52" s="11">
        <f>D51/D50</f>
        <v>0.9666666667</v>
      </c>
      <c r="I52" s="11">
        <f>E53/E52</f>
        <v>0.6666666667</v>
      </c>
    </row>
    <row r="53" ht="15.75" customHeight="1">
      <c r="A53" s="10" t="s">
        <v>24</v>
      </c>
      <c r="B53" s="12">
        <v>29.0</v>
      </c>
      <c r="C53" s="13">
        <v>40.0</v>
      </c>
      <c r="D53" s="4">
        <v>30.0</v>
      </c>
      <c r="E53" s="20">
        <v>20.0</v>
      </c>
      <c r="F53" s="11"/>
      <c r="G53" s="11"/>
      <c r="H53" s="11"/>
      <c r="I53" s="11"/>
    </row>
    <row r="54" ht="15.75" customHeight="1">
      <c r="A54" s="10" t="s">
        <v>25</v>
      </c>
      <c r="B54" s="12">
        <v>210.0</v>
      </c>
      <c r="C54" s="13">
        <v>75.0</v>
      </c>
      <c r="D54" s="4">
        <v>45.0</v>
      </c>
      <c r="E54" s="5">
        <v>45.0</v>
      </c>
      <c r="F54" s="11">
        <f t="shared" ref="F54:G54" si="23">B55/B54</f>
        <v>0.180952381</v>
      </c>
      <c r="G54" s="11">
        <f t="shared" si="23"/>
        <v>0.6266666667</v>
      </c>
      <c r="H54" s="11">
        <f>D53/D52</f>
        <v>1</v>
      </c>
      <c r="I54" s="11">
        <f>E55/E54</f>
        <v>0.4666666667</v>
      </c>
    </row>
    <row r="55" ht="15.75" customHeight="1">
      <c r="A55" s="10" t="s">
        <v>26</v>
      </c>
      <c r="B55" s="12">
        <v>38.0</v>
      </c>
      <c r="C55" s="13">
        <v>47.0</v>
      </c>
      <c r="D55" s="4">
        <v>45.0</v>
      </c>
      <c r="E55" s="5">
        <v>21.0</v>
      </c>
      <c r="F55" s="11"/>
      <c r="G55" s="11"/>
      <c r="H55" s="11"/>
      <c r="I55" s="11"/>
    </row>
    <row r="56" ht="15.75" customHeight="1">
      <c r="B56" s="2"/>
      <c r="C56" s="3"/>
      <c r="D56" s="4"/>
      <c r="E56" s="5"/>
      <c r="F56" s="11"/>
      <c r="G56" s="11"/>
      <c r="H56" s="11"/>
      <c r="I56" s="11"/>
    </row>
    <row r="57" ht="15.75" customHeight="1">
      <c r="B57" s="2"/>
      <c r="C57" s="3"/>
      <c r="D57" s="4"/>
      <c r="E57" s="5"/>
      <c r="F57" s="14"/>
      <c r="G57" s="14"/>
      <c r="H57" s="14"/>
      <c r="I57" s="14"/>
    </row>
    <row r="58" ht="15.75" customHeight="1">
      <c r="B58" s="2"/>
      <c r="C58" s="3"/>
      <c r="D58" s="4"/>
      <c r="E58" s="5"/>
      <c r="F58" s="15">
        <f t="shared" ref="F58:I58" si="24">AVERAGE(F34:F57)</f>
        <v>0.2155346683</v>
      </c>
      <c r="G58" s="16">
        <f t="shared" si="24"/>
        <v>0.6027272727</v>
      </c>
      <c r="H58" s="17">
        <f t="shared" si="24"/>
        <v>0.9287878788</v>
      </c>
      <c r="I58" s="18">
        <f t="shared" si="24"/>
        <v>0.76</v>
      </c>
    </row>
    <row r="59" ht="15.75" customHeight="1">
      <c r="B59" s="2"/>
      <c r="C59" s="3"/>
      <c r="D59" s="4"/>
      <c r="E59" s="5"/>
    </row>
    <row r="60" ht="15.75" customHeight="1">
      <c r="B60" s="2"/>
      <c r="C60" s="3"/>
      <c r="D60" s="4"/>
      <c r="E60" s="5"/>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1:E1"/>
    <mergeCell ref="B32:E3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xSplit="1.0" topLeftCell="B1" activePane="topRight" state="frozen"/>
      <selection activeCell="C2" sqref="C2" pane="topRight"/>
    </sheetView>
  </sheetViews>
  <sheetFormatPr customHeight="1" defaultColWidth="12.63" defaultRowHeight="15.0"/>
  <cols>
    <col customWidth="1" min="1" max="1" width="12.63"/>
    <col customWidth="1" min="2" max="2" width="7.13"/>
    <col customWidth="1" min="3" max="4" width="7.38"/>
    <col customWidth="1" min="5" max="6" width="16.13"/>
  </cols>
  <sheetData>
    <row r="1" ht="15.75" customHeight="1">
      <c r="B1" s="10" t="s">
        <v>29</v>
      </c>
      <c r="C1" s="10" t="s">
        <v>30</v>
      </c>
      <c r="D1" s="21" t="s">
        <v>31</v>
      </c>
      <c r="E1" s="21" t="s">
        <v>32</v>
      </c>
      <c r="F1" s="21" t="s">
        <v>33</v>
      </c>
      <c r="G1" s="21" t="s">
        <v>34</v>
      </c>
      <c r="H1" s="21" t="s">
        <v>35</v>
      </c>
      <c r="I1" s="21" t="s">
        <v>36</v>
      </c>
      <c r="J1" s="21" t="s">
        <v>37</v>
      </c>
      <c r="K1" s="21" t="s">
        <v>38</v>
      </c>
      <c r="L1" s="22" t="s">
        <v>39</v>
      </c>
      <c r="M1" s="21" t="s">
        <v>40</v>
      </c>
      <c r="N1" s="23" t="s">
        <v>41</v>
      </c>
      <c r="O1" s="23" t="s">
        <v>41</v>
      </c>
      <c r="P1" s="24" t="s">
        <v>42</v>
      </c>
      <c r="Q1" s="24" t="s">
        <v>43</v>
      </c>
      <c r="R1" s="24" t="s">
        <v>44</v>
      </c>
      <c r="S1" s="24" t="s">
        <v>45</v>
      </c>
      <c r="T1" s="24" t="s">
        <v>46</v>
      </c>
      <c r="U1" s="24" t="s">
        <v>47</v>
      </c>
      <c r="V1" s="25" t="s">
        <v>48</v>
      </c>
      <c r="W1" s="25" t="s">
        <v>48</v>
      </c>
      <c r="X1" s="25" t="s">
        <v>48</v>
      </c>
      <c r="Y1" s="25" t="s">
        <v>48</v>
      </c>
      <c r="Z1" s="25" t="s">
        <v>48</v>
      </c>
    </row>
    <row r="2" ht="15.75" customHeight="1">
      <c r="A2" s="26" t="s">
        <v>49</v>
      </c>
      <c r="B2" s="14">
        <f t="shared" ref="B2:B16" si="1">COUNTIF(E2:O2, TRUE) / COUNTA(E2:O2)</f>
        <v>0.5454545455</v>
      </c>
      <c r="C2" s="14">
        <f t="shared" ref="C2:C16" si="2">COUNTIF(E2:Z2, TRUE) / COUNTA(E2:Z2)</f>
        <v>0.2727272727</v>
      </c>
      <c r="D2" s="21"/>
      <c r="E2" s="21" t="b">
        <v>1</v>
      </c>
      <c r="F2" s="21" t="b">
        <v>1</v>
      </c>
      <c r="G2" s="21" t="b">
        <v>0</v>
      </c>
      <c r="H2" s="21" t="b">
        <v>1</v>
      </c>
      <c r="I2" s="21" t="b">
        <v>0</v>
      </c>
      <c r="J2" s="21" t="b">
        <v>0</v>
      </c>
      <c r="K2" s="21" t="b">
        <v>1</v>
      </c>
      <c r="L2" s="21" t="b">
        <v>0</v>
      </c>
      <c r="M2" s="21" t="b">
        <v>0</v>
      </c>
      <c r="N2" s="21" t="b">
        <v>1</v>
      </c>
      <c r="O2" s="21" t="b">
        <v>1</v>
      </c>
      <c r="P2" s="21" t="b">
        <v>0</v>
      </c>
      <c r="Q2" s="21" t="b">
        <v>0</v>
      </c>
      <c r="R2" s="21" t="b">
        <v>0</v>
      </c>
      <c r="S2" s="21" t="b">
        <v>0</v>
      </c>
      <c r="T2" s="21" t="b">
        <v>0</v>
      </c>
      <c r="U2" s="21" t="b">
        <v>0</v>
      </c>
      <c r="V2" s="21" t="b">
        <v>0</v>
      </c>
      <c r="W2" s="21" t="b">
        <v>0</v>
      </c>
      <c r="X2" s="21" t="b">
        <v>0</v>
      </c>
      <c r="Y2" s="21" t="b">
        <v>0</v>
      </c>
      <c r="Z2" s="21" t="b">
        <v>0</v>
      </c>
    </row>
    <row r="3" ht="15.75" customHeight="1">
      <c r="A3" s="27" t="s">
        <v>50</v>
      </c>
      <c r="B3" s="14">
        <f t="shared" si="1"/>
        <v>0.9090909091</v>
      </c>
      <c r="C3" s="14">
        <f t="shared" si="2"/>
        <v>0.5454545455</v>
      </c>
      <c r="D3" s="21" t="s">
        <v>31</v>
      </c>
      <c r="E3" s="21" t="b">
        <v>1</v>
      </c>
      <c r="F3" s="21" t="b">
        <v>1</v>
      </c>
      <c r="G3" s="21" t="b">
        <v>1</v>
      </c>
      <c r="H3" s="21" t="b">
        <v>1</v>
      </c>
      <c r="I3" s="21" t="b">
        <v>1</v>
      </c>
      <c r="J3" s="21" t="b">
        <v>1</v>
      </c>
      <c r="K3" s="21" t="b">
        <v>1</v>
      </c>
      <c r="L3" s="21" t="b">
        <v>1</v>
      </c>
      <c r="M3" s="21" t="b">
        <v>0</v>
      </c>
      <c r="N3" s="21" t="b">
        <v>1</v>
      </c>
      <c r="O3" s="21" t="b">
        <v>1</v>
      </c>
      <c r="P3" s="28" t="b">
        <v>1</v>
      </c>
      <c r="Q3" s="28" t="b">
        <v>1</v>
      </c>
      <c r="R3" s="21" t="b">
        <v>0</v>
      </c>
      <c r="S3" s="28" t="b">
        <v>0</v>
      </c>
      <c r="T3" s="28" t="b">
        <v>0</v>
      </c>
      <c r="U3" s="28" t="b">
        <v>0</v>
      </c>
      <c r="V3" s="21" t="b">
        <v>0</v>
      </c>
      <c r="W3" s="21" t="b">
        <v>0</v>
      </c>
      <c r="X3" s="21" t="b">
        <v>0</v>
      </c>
      <c r="Y3" s="21" t="b">
        <v>0</v>
      </c>
      <c r="Z3" s="21" t="b">
        <v>0</v>
      </c>
    </row>
    <row r="4" ht="15.75" customHeight="1">
      <c r="A4" s="26" t="s">
        <v>51</v>
      </c>
      <c r="B4" s="14">
        <f t="shared" si="1"/>
        <v>0.3636363636</v>
      </c>
      <c r="C4" s="14">
        <f t="shared" si="2"/>
        <v>0.1818181818</v>
      </c>
      <c r="D4" s="29"/>
      <c r="E4" s="21" t="b">
        <v>0</v>
      </c>
      <c r="F4" s="21" t="b">
        <v>0</v>
      </c>
      <c r="G4" s="21" t="b">
        <v>0</v>
      </c>
      <c r="H4" s="21" t="b">
        <v>0</v>
      </c>
      <c r="I4" s="21" t="b">
        <v>0</v>
      </c>
      <c r="J4" s="21" t="b">
        <v>0</v>
      </c>
      <c r="K4" s="21" t="b">
        <v>1</v>
      </c>
      <c r="L4" s="21" t="b">
        <v>1</v>
      </c>
      <c r="M4" s="21" t="b">
        <v>0</v>
      </c>
      <c r="N4" s="21" t="b">
        <v>1</v>
      </c>
      <c r="O4" s="21" t="b">
        <v>1</v>
      </c>
      <c r="P4" s="21" t="b">
        <v>0</v>
      </c>
      <c r="Q4" s="21" t="b">
        <v>0</v>
      </c>
      <c r="R4" s="21" t="b">
        <v>0</v>
      </c>
      <c r="S4" s="21" t="b">
        <v>0</v>
      </c>
      <c r="T4" s="21" t="b">
        <v>0</v>
      </c>
      <c r="U4" s="21" t="b">
        <v>0</v>
      </c>
      <c r="V4" s="21" t="b">
        <v>0</v>
      </c>
      <c r="W4" s="21" t="b">
        <v>0</v>
      </c>
      <c r="X4" s="21" t="b">
        <v>0</v>
      </c>
      <c r="Y4" s="21" t="b">
        <v>0</v>
      </c>
      <c r="Z4" s="21" t="b">
        <v>0</v>
      </c>
    </row>
    <row r="5" ht="15.75" customHeight="1">
      <c r="A5" s="27" t="s">
        <v>52</v>
      </c>
      <c r="B5" s="14">
        <f t="shared" si="1"/>
        <v>0.8181818182</v>
      </c>
      <c r="C5" s="14">
        <f t="shared" si="2"/>
        <v>0.5</v>
      </c>
      <c r="D5" s="21" t="s">
        <v>31</v>
      </c>
      <c r="E5" s="21" t="b">
        <v>1</v>
      </c>
      <c r="F5" s="21" t="b">
        <v>1</v>
      </c>
      <c r="G5" s="21" t="b">
        <v>1</v>
      </c>
      <c r="H5" s="21" t="b">
        <v>1</v>
      </c>
      <c r="I5" s="21" t="b">
        <v>1</v>
      </c>
      <c r="J5" s="21" t="b">
        <v>0</v>
      </c>
      <c r="K5" s="21" t="b">
        <v>1</v>
      </c>
      <c r="L5" s="21" t="b">
        <v>1</v>
      </c>
      <c r="M5" s="21" t="b">
        <v>0</v>
      </c>
      <c r="N5" s="21" t="b">
        <v>1</v>
      </c>
      <c r="O5" s="21" t="b">
        <v>1</v>
      </c>
      <c r="P5" s="28" t="b">
        <v>1</v>
      </c>
      <c r="Q5" s="28" t="b">
        <v>1</v>
      </c>
      <c r="R5" s="21" t="b">
        <v>0</v>
      </c>
      <c r="S5" s="28" t="b">
        <v>0</v>
      </c>
      <c r="T5" s="28" t="b">
        <v>0</v>
      </c>
      <c r="U5" s="28" t="b">
        <v>0</v>
      </c>
      <c r="V5" s="21" t="b">
        <v>0</v>
      </c>
      <c r="W5" s="21" t="b">
        <v>0</v>
      </c>
      <c r="X5" s="21" t="b">
        <v>0</v>
      </c>
      <c r="Y5" s="21" t="b">
        <v>0</v>
      </c>
      <c r="Z5" s="21" t="b">
        <v>0</v>
      </c>
    </row>
    <row r="6" ht="15.75" customHeight="1">
      <c r="A6" s="27" t="s">
        <v>53</v>
      </c>
      <c r="B6" s="14">
        <f t="shared" si="1"/>
        <v>0.9090909091</v>
      </c>
      <c r="C6" s="14">
        <f t="shared" si="2"/>
        <v>0.5454545455</v>
      </c>
      <c r="D6" s="21" t="s">
        <v>31</v>
      </c>
      <c r="E6" s="21" t="b">
        <v>1</v>
      </c>
      <c r="F6" s="21" t="b">
        <v>1</v>
      </c>
      <c r="G6" s="21" t="b">
        <v>1</v>
      </c>
      <c r="H6" s="21" t="b">
        <v>1</v>
      </c>
      <c r="I6" s="21" t="b">
        <v>1</v>
      </c>
      <c r="J6" s="21" t="b">
        <v>1</v>
      </c>
      <c r="K6" s="21" t="b">
        <v>1</v>
      </c>
      <c r="L6" s="21" t="b">
        <v>1</v>
      </c>
      <c r="M6" s="21" t="b">
        <v>0</v>
      </c>
      <c r="N6" s="21" t="b">
        <v>1</v>
      </c>
      <c r="O6" s="21" t="b">
        <v>1</v>
      </c>
      <c r="P6" s="28" t="b">
        <v>1</v>
      </c>
      <c r="Q6" s="28" t="b">
        <v>1</v>
      </c>
      <c r="R6" s="21" t="b">
        <v>0</v>
      </c>
      <c r="S6" s="28" t="b">
        <v>0</v>
      </c>
      <c r="T6" s="28" t="b">
        <v>0</v>
      </c>
      <c r="U6" s="28" t="b">
        <v>0</v>
      </c>
      <c r="V6" s="21" t="b">
        <v>0</v>
      </c>
      <c r="W6" s="21" t="b">
        <v>0</v>
      </c>
      <c r="X6" s="21" t="b">
        <v>0</v>
      </c>
      <c r="Y6" s="21" t="b">
        <v>0</v>
      </c>
      <c r="Z6" s="21" t="b">
        <v>0</v>
      </c>
    </row>
    <row r="7" ht="15.75" customHeight="1">
      <c r="A7" s="26" t="s">
        <v>54</v>
      </c>
      <c r="B7" s="14">
        <f t="shared" si="1"/>
        <v>0.5454545455</v>
      </c>
      <c r="C7" s="14">
        <f t="shared" si="2"/>
        <v>0.2727272727</v>
      </c>
      <c r="D7" s="29"/>
      <c r="E7" s="21" t="b">
        <v>0</v>
      </c>
      <c r="F7" s="21" t="b">
        <v>0</v>
      </c>
      <c r="G7" s="21" t="b">
        <v>0</v>
      </c>
      <c r="H7" s="21" t="b">
        <v>0</v>
      </c>
      <c r="I7" s="21" t="b">
        <v>1</v>
      </c>
      <c r="J7" s="21" t="b">
        <v>1</v>
      </c>
      <c r="K7" s="21" t="b">
        <v>1</v>
      </c>
      <c r="L7" s="21" t="b">
        <v>1</v>
      </c>
      <c r="M7" s="21" t="b">
        <v>0</v>
      </c>
      <c r="N7" s="21" t="b">
        <v>1</v>
      </c>
      <c r="O7" s="21" t="b">
        <v>1</v>
      </c>
      <c r="P7" s="21" t="b">
        <v>0</v>
      </c>
      <c r="Q7" s="21" t="b">
        <v>0</v>
      </c>
      <c r="R7" s="21" t="b">
        <v>0</v>
      </c>
      <c r="S7" s="21" t="b">
        <v>0</v>
      </c>
      <c r="T7" s="21" t="b">
        <v>0</v>
      </c>
      <c r="U7" s="21" t="b">
        <v>0</v>
      </c>
      <c r="V7" s="21" t="b">
        <v>0</v>
      </c>
      <c r="W7" s="21" t="b">
        <v>0</v>
      </c>
      <c r="X7" s="21" t="b">
        <v>0</v>
      </c>
      <c r="Y7" s="21" t="b">
        <v>0</v>
      </c>
      <c r="Z7" s="21" t="b">
        <v>0</v>
      </c>
    </row>
    <row r="8" ht="15.75" customHeight="1">
      <c r="A8" s="27" t="s">
        <v>55</v>
      </c>
      <c r="B8" s="14">
        <f t="shared" si="1"/>
        <v>0.9090909091</v>
      </c>
      <c r="C8" s="14">
        <f t="shared" si="2"/>
        <v>0.5454545455</v>
      </c>
      <c r="D8" s="21" t="s">
        <v>31</v>
      </c>
      <c r="E8" s="21" t="b">
        <v>1</v>
      </c>
      <c r="F8" s="21" t="b">
        <v>1</v>
      </c>
      <c r="G8" s="21" t="b">
        <v>1</v>
      </c>
      <c r="H8" s="21" t="b">
        <v>1</v>
      </c>
      <c r="I8" s="21" t="b">
        <v>1</v>
      </c>
      <c r="J8" s="21" t="b">
        <v>1</v>
      </c>
      <c r="K8" s="21" t="b">
        <v>1</v>
      </c>
      <c r="L8" s="21" t="b">
        <v>1</v>
      </c>
      <c r="M8" s="21" t="b">
        <v>0</v>
      </c>
      <c r="N8" s="21" t="b">
        <v>1</v>
      </c>
      <c r="O8" s="21" t="b">
        <v>1</v>
      </c>
      <c r="P8" s="28" t="b">
        <v>1</v>
      </c>
      <c r="Q8" s="28" t="b">
        <v>1</v>
      </c>
      <c r="R8" s="21" t="b">
        <v>0</v>
      </c>
      <c r="S8" s="28" t="b">
        <v>0</v>
      </c>
      <c r="T8" s="28" t="b">
        <v>0</v>
      </c>
      <c r="U8" s="28" t="b">
        <v>0</v>
      </c>
      <c r="V8" s="21" t="b">
        <v>0</v>
      </c>
      <c r="W8" s="21" t="b">
        <v>0</v>
      </c>
      <c r="X8" s="21" t="b">
        <v>0</v>
      </c>
      <c r="Y8" s="21" t="b">
        <v>0</v>
      </c>
      <c r="Z8" s="21" t="b">
        <v>0</v>
      </c>
    </row>
    <row r="9" ht="15.75" customHeight="1">
      <c r="A9" s="27" t="s">
        <v>56</v>
      </c>
      <c r="B9" s="14">
        <f t="shared" si="1"/>
        <v>0.9090909091</v>
      </c>
      <c r="C9" s="14">
        <f t="shared" si="2"/>
        <v>0.5454545455</v>
      </c>
      <c r="D9" s="21" t="s">
        <v>31</v>
      </c>
      <c r="E9" s="21" t="b">
        <v>1</v>
      </c>
      <c r="F9" s="21" t="b">
        <v>1</v>
      </c>
      <c r="G9" s="21" t="b">
        <v>1</v>
      </c>
      <c r="H9" s="21" t="b">
        <v>1</v>
      </c>
      <c r="I9" s="21" t="b">
        <v>1</v>
      </c>
      <c r="J9" s="21" t="b">
        <v>1</v>
      </c>
      <c r="K9" s="21" t="b">
        <v>1</v>
      </c>
      <c r="L9" s="21" t="b">
        <v>1</v>
      </c>
      <c r="M9" s="21" t="b">
        <v>0</v>
      </c>
      <c r="N9" s="21" t="b">
        <v>1</v>
      </c>
      <c r="O9" s="21" t="b">
        <v>1</v>
      </c>
      <c r="P9" s="28" t="b">
        <v>1</v>
      </c>
      <c r="Q9" s="28" t="b">
        <v>1</v>
      </c>
      <c r="R9" s="21" t="b">
        <v>0</v>
      </c>
      <c r="S9" s="28" t="b">
        <v>0</v>
      </c>
      <c r="T9" s="28" t="b">
        <v>0</v>
      </c>
      <c r="U9" s="28" t="b">
        <v>0</v>
      </c>
      <c r="V9" s="21" t="b">
        <v>0</v>
      </c>
      <c r="W9" s="21" t="b">
        <v>0</v>
      </c>
      <c r="X9" s="21" t="b">
        <v>0</v>
      </c>
      <c r="Y9" s="21" t="b">
        <v>0</v>
      </c>
      <c r="Z9" s="21" t="b">
        <v>0</v>
      </c>
    </row>
    <row r="10" ht="15.75" customHeight="1">
      <c r="A10" s="27" t="s">
        <v>57</v>
      </c>
      <c r="B10" s="14">
        <f t="shared" si="1"/>
        <v>0.9090909091</v>
      </c>
      <c r="C10" s="14">
        <f t="shared" si="2"/>
        <v>0.5454545455</v>
      </c>
      <c r="D10" s="21" t="s">
        <v>31</v>
      </c>
      <c r="E10" s="21" t="b">
        <v>1</v>
      </c>
      <c r="F10" s="21" t="b">
        <v>1</v>
      </c>
      <c r="G10" s="21" t="b">
        <v>1</v>
      </c>
      <c r="H10" s="21" t="b">
        <v>1</v>
      </c>
      <c r="I10" s="21" t="b">
        <v>1</v>
      </c>
      <c r="J10" s="21" t="b">
        <v>1</v>
      </c>
      <c r="K10" s="21" t="b">
        <v>1</v>
      </c>
      <c r="L10" s="21" t="b">
        <v>1</v>
      </c>
      <c r="M10" s="21" t="b">
        <v>0</v>
      </c>
      <c r="N10" s="21" t="b">
        <v>1</v>
      </c>
      <c r="O10" s="21" t="b">
        <v>1</v>
      </c>
      <c r="P10" s="28" t="b">
        <v>1</v>
      </c>
      <c r="Q10" s="28" t="b">
        <v>1</v>
      </c>
      <c r="R10" s="21" t="b">
        <v>0</v>
      </c>
      <c r="S10" s="28" t="b">
        <v>0</v>
      </c>
      <c r="T10" s="28" t="b">
        <v>0</v>
      </c>
      <c r="U10" s="28" t="b">
        <v>0</v>
      </c>
      <c r="V10" s="21" t="b">
        <v>0</v>
      </c>
      <c r="W10" s="21" t="b">
        <v>0</v>
      </c>
      <c r="X10" s="21" t="b">
        <v>0</v>
      </c>
      <c r="Y10" s="21" t="b">
        <v>0</v>
      </c>
      <c r="Z10" s="21" t="b">
        <v>0</v>
      </c>
    </row>
    <row r="11" ht="15.75" customHeight="1">
      <c r="A11" s="30" t="s">
        <v>58</v>
      </c>
      <c r="B11" s="14">
        <f t="shared" si="1"/>
        <v>0.2727272727</v>
      </c>
      <c r="C11" s="14">
        <f t="shared" si="2"/>
        <v>0.1363636364</v>
      </c>
      <c r="D11" s="29"/>
      <c r="E11" s="21" t="b">
        <v>0</v>
      </c>
      <c r="F11" s="21" t="b">
        <v>0</v>
      </c>
      <c r="G11" s="21" t="b">
        <v>0</v>
      </c>
      <c r="H11" s="21" t="b">
        <v>0</v>
      </c>
      <c r="I11" s="21" t="b">
        <v>0</v>
      </c>
      <c r="J11" s="21" t="b">
        <v>0</v>
      </c>
      <c r="K11" s="21" t="b">
        <v>1</v>
      </c>
      <c r="L11" s="21" t="b">
        <v>0</v>
      </c>
      <c r="M11" s="21" t="b">
        <v>0</v>
      </c>
      <c r="N11" s="21" t="b">
        <v>1</v>
      </c>
      <c r="O11" s="21" t="b">
        <v>1</v>
      </c>
      <c r="P11" s="21" t="b">
        <v>0</v>
      </c>
      <c r="Q11" s="21" t="b">
        <v>0</v>
      </c>
      <c r="R11" s="21" t="b">
        <v>0</v>
      </c>
      <c r="S11" s="21" t="b">
        <v>0</v>
      </c>
      <c r="T11" s="21" t="b">
        <v>0</v>
      </c>
      <c r="U11" s="21" t="b">
        <v>0</v>
      </c>
      <c r="V11" s="21" t="b">
        <v>0</v>
      </c>
      <c r="W11" s="21" t="b">
        <v>0</v>
      </c>
      <c r="X11" s="21" t="b">
        <v>0</v>
      </c>
      <c r="Y11" s="21" t="b">
        <v>0</v>
      </c>
      <c r="Z11" s="21" t="b">
        <v>0</v>
      </c>
    </row>
    <row r="12" ht="15.75" customHeight="1">
      <c r="A12" s="27" t="s">
        <v>59</v>
      </c>
      <c r="B12" s="14">
        <f t="shared" si="1"/>
        <v>0.8181818182</v>
      </c>
      <c r="C12" s="14">
        <f t="shared" si="2"/>
        <v>0.5</v>
      </c>
      <c r="D12" s="21" t="s">
        <v>31</v>
      </c>
      <c r="E12" s="21" t="b">
        <v>1</v>
      </c>
      <c r="F12" s="21" t="b">
        <v>1</v>
      </c>
      <c r="G12" s="21" t="b">
        <v>1</v>
      </c>
      <c r="H12" s="21" t="b">
        <v>1</v>
      </c>
      <c r="I12" s="21" t="b">
        <v>0</v>
      </c>
      <c r="J12" s="21" t="b">
        <v>1</v>
      </c>
      <c r="K12" s="21" t="b">
        <v>1</v>
      </c>
      <c r="L12" s="21" t="b">
        <v>1</v>
      </c>
      <c r="M12" s="21" t="b">
        <v>0</v>
      </c>
      <c r="N12" s="21" t="b">
        <v>1</v>
      </c>
      <c r="O12" s="21" t="b">
        <v>1</v>
      </c>
      <c r="P12" s="28" t="b">
        <v>1</v>
      </c>
      <c r="Q12" s="28" t="b">
        <v>1</v>
      </c>
      <c r="R12" s="21" t="b">
        <v>0</v>
      </c>
      <c r="S12" s="28" t="b">
        <v>0</v>
      </c>
      <c r="T12" s="28" t="b">
        <v>0</v>
      </c>
      <c r="U12" s="28" t="b">
        <v>0</v>
      </c>
      <c r="V12" s="21" t="b">
        <v>0</v>
      </c>
      <c r="W12" s="21" t="b">
        <v>0</v>
      </c>
      <c r="X12" s="21" t="b">
        <v>0</v>
      </c>
      <c r="Y12" s="21" t="b">
        <v>0</v>
      </c>
      <c r="Z12" s="21" t="b">
        <v>0</v>
      </c>
    </row>
    <row r="13" ht="15.75" customHeight="1">
      <c r="A13" s="27" t="s">
        <v>60</v>
      </c>
      <c r="B13" s="14">
        <f t="shared" si="1"/>
        <v>0.9090909091</v>
      </c>
      <c r="C13" s="14">
        <f t="shared" si="2"/>
        <v>0.5454545455</v>
      </c>
      <c r="D13" s="21" t="s">
        <v>31</v>
      </c>
      <c r="E13" s="21" t="b">
        <v>1</v>
      </c>
      <c r="F13" s="21" t="b">
        <v>1</v>
      </c>
      <c r="G13" s="21" t="b">
        <v>1</v>
      </c>
      <c r="H13" s="21" t="b">
        <v>1</v>
      </c>
      <c r="I13" s="21" t="b">
        <v>1</v>
      </c>
      <c r="J13" s="21" t="b">
        <v>1</v>
      </c>
      <c r="K13" s="21" t="b">
        <v>1</v>
      </c>
      <c r="L13" s="21" t="b">
        <v>1</v>
      </c>
      <c r="M13" s="21" t="b">
        <v>0</v>
      </c>
      <c r="N13" s="21" t="b">
        <v>1</v>
      </c>
      <c r="O13" s="21" t="b">
        <v>1</v>
      </c>
      <c r="P13" s="28" t="b">
        <v>1</v>
      </c>
      <c r="Q13" s="28" t="b">
        <v>1</v>
      </c>
      <c r="R13" s="21" t="b">
        <v>0</v>
      </c>
      <c r="S13" s="28" t="b">
        <v>0</v>
      </c>
      <c r="T13" s="28" t="b">
        <v>0</v>
      </c>
      <c r="U13" s="28" t="b">
        <v>0</v>
      </c>
      <c r="V13" s="21" t="b">
        <v>0</v>
      </c>
      <c r="W13" s="21" t="b">
        <v>0</v>
      </c>
      <c r="X13" s="21" t="b">
        <v>0</v>
      </c>
      <c r="Y13" s="21" t="b">
        <v>0</v>
      </c>
      <c r="Z13" s="21" t="b">
        <v>0</v>
      </c>
    </row>
    <row r="14" ht="15.75" customHeight="1">
      <c r="A14" s="27" t="s">
        <v>61</v>
      </c>
      <c r="B14" s="14">
        <f t="shared" si="1"/>
        <v>0.9090909091</v>
      </c>
      <c r="C14" s="14">
        <f t="shared" si="2"/>
        <v>0.5454545455</v>
      </c>
      <c r="D14" s="21" t="s">
        <v>31</v>
      </c>
      <c r="E14" s="21" t="b">
        <v>1</v>
      </c>
      <c r="F14" s="21" t="b">
        <v>1</v>
      </c>
      <c r="G14" s="21" t="b">
        <v>1</v>
      </c>
      <c r="H14" s="21" t="b">
        <v>1</v>
      </c>
      <c r="I14" s="21" t="b">
        <v>1</v>
      </c>
      <c r="J14" s="21" t="b">
        <v>1</v>
      </c>
      <c r="K14" s="21" t="b">
        <v>1</v>
      </c>
      <c r="L14" s="21" t="b">
        <v>1</v>
      </c>
      <c r="M14" s="21" t="b">
        <v>0</v>
      </c>
      <c r="N14" s="21" t="b">
        <v>1</v>
      </c>
      <c r="O14" s="21" t="b">
        <v>1</v>
      </c>
      <c r="P14" s="28" t="b">
        <v>1</v>
      </c>
      <c r="Q14" s="28" t="b">
        <v>1</v>
      </c>
      <c r="R14" s="21" t="b">
        <v>0</v>
      </c>
      <c r="S14" s="28" t="b">
        <v>0</v>
      </c>
      <c r="T14" s="28" t="b">
        <v>0</v>
      </c>
      <c r="U14" s="28" t="b">
        <v>0</v>
      </c>
      <c r="V14" s="21" t="b">
        <v>0</v>
      </c>
      <c r="W14" s="21" t="b">
        <v>0</v>
      </c>
      <c r="X14" s="21" t="b">
        <v>0</v>
      </c>
      <c r="Y14" s="21" t="b">
        <v>0</v>
      </c>
      <c r="Z14" s="21" t="b">
        <v>0</v>
      </c>
    </row>
    <row r="15" ht="15.75" customHeight="1">
      <c r="A15" s="26" t="s">
        <v>62</v>
      </c>
      <c r="B15" s="14">
        <f t="shared" si="1"/>
        <v>0.4545454545</v>
      </c>
      <c r="C15" s="14">
        <f t="shared" si="2"/>
        <v>0.2272727273</v>
      </c>
      <c r="D15" s="29"/>
      <c r="E15" s="21" t="b">
        <v>0</v>
      </c>
      <c r="F15" s="21" t="b">
        <v>0</v>
      </c>
      <c r="G15" s="21" t="b">
        <v>0</v>
      </c>
      <c r="H15" s="21" t="b">
        <v>0</v>
      </c>
      <c r="I15" s="21" t="b">
        <v>1</v>
      </c>
      <c r="J15" s="21" t="b">
        <v>0</v>
      </c>
      <c r="K15" s="21" t="b">
        <v>1</v>
      </c>
      <c r="L15" s="21" t="b">
        <v>1</v>
      </c>
      <c r="M15" s="21" t="b">
        <v>0</v>
      </c>
      <c r="N15" s="21" t="b">
        <v>1</v>
      </c>
      <c r="O15" s="21" t="b">
        <v>1</v>
      </c>
      <c r="P15" s="21" t="b">
        <v>0</v>
      </c>
      <c r="Q15" s="21" t="b">
        <v>0</v>
      </c>
      <c r="R15" s="21" t="b">
        <v>0</v>
      </c>
      <c r="S15" s="21" t="b">
        <v>0</v>
      </c>
      <c r="T15" s="21" t="b">
        <v>0</v>
      </c>
      <c r="U15" s="21" t="b">
        <v>0</v>
      </c>
      <c r="V15" s="21" t="b">
        <v>0</v>
      </c>
      <c r="W15" s="21" t="b">
        <v>0</v>
      </c>
      <c r="X15" s="21" t="b">
        <v>0</v>
      </c>
      <c r="Y15" s="21" t="b">
        <v>0</v>
      </c>
      <c r="Z15" s="21" t="b">
        <v>0</v>
      </c>
    </row>
    <row r="16" ht="15.75" customHeight="1">
      <c r="A16" s="27" t="s">
        <v>63</v>
      </c>
      <c r="B16" s="14">
        <f t="shared" si="1"/>
        <v>0.9090909091</v>
      </c>
      <c r="C16" s="14">
        <f t="shared" si="2"/>
        <v>0.5454545455</v>
      </c>
      <c r="D16" s="21" t="s">
        <v>31</v>
      </c>
      <c r="E16" s="21" t="b">
        <v>1</v>
      </c>
      <c r="F16" s="21" t="b">
        <v>1</v>
      </c>
      <c r="G16" s="21" t="b">
        <v>1</v>
      </c>
      <c r="H16" s="21" t="b">
        <v>1</v>
      </c>
      <c r="I16" s="21" t="b">
        <v>1</v>
      </c>
      <c r="J16" s="21" t="b">
        <v>1</v>
      </c>
      <c r="K16" s="21" t="b">
        <v>1</v>
      </c>
      <c r="L16" s="21" t="b">
        <v>1</v>
      </c>
      <c r="M16" s="21" t="b">
        <v>0</v>
      </c>
      <c r="N16" s="21" t="b">
        <v>1</v>
      </c>
      <c r="O16" s="21" t="b">
        <v>1</v>
      </c>
      <c r="P16" s="28" t="b">
        <v>1</v>
      </c>
      <c r="Q16" s="28" t="b">
        <v>1</v>
      </c>
      <c r="R16" s="21" t="b">
        <v>0</v>
      </c>
      <c r="S16" s="28" t="b">
        <v>0</v>
      </c>
      <c r="T16" s="28" t="b">
        <v>0</v>
      </c>
      <c r="U16" s="28" t="b">
        <v>0</v>
      </c>
      <c r="V16" s="21" t="b">
        <v>0</v>
      </c>
      <c r="W16" s="21" t="b">
        <v>0</v>
      </c>
      <c r="X16" s="21" t="b">
        <v>0</v>
      </c>
      <c r="Y16" s="21" t="b">
        <v>0</v>
      </c>
      <c r="Z16" s="21" t="b">
        <v>0</v>
      </c>
    </row>
    <row r="17" ht="15.75" customHeight="1">
      <c r="A17" s="10" t="s">
        <v>64</v>
      </c>
      <c r="E17" s="31">
        <f t="shared" ref="E17:Z17" si="3">COUNTIF(E2:E16, TRUE)</f>
        <v>11</v>
      </c>
      <c r="F17" s="31">
        <f t="shared" si="3"/>
        <v>11</v>
      </c>
      <c r="G17" s="31">
        <f t="shared" si="3"/>
        <v>10</v>
      </c>
      <c r="H17" s="31">
        <f t="shared" si="3"/>
        <v>11</v>
      </c>
      <c r="I17" s="32">
        <f t="shared" si="3"/>
        <v>11</v>
      </c>
      <c r="J17" s="32">
        <f t="shared" si="3"/>
        <v>10</v>
      </c>
      <c r="K17" s="32">
        <f t="shared" si="3"/>
        <v>15</v>
      </c>
      <c r="L17" s="32">
        <f t="shared" si="3"/>
        <v>13</v>
      </c>
      <c r="M17" s="32">
        <f t="shared" si="3"/>
        <v>0</v>
      </c>
      <c r="N17" s="21">
        <f t="shared" si="3"/>
        <v>15</v>
      </c>
      <c r="O17" s="21">
        <f t="shared" si="3"/>
        <v>15</v>
      </c>
      <c r="P17" s="31">
        <f t="shared" si="3"/>
        <v>10</v>
      </c>
      <c r="Q17" s="31">
        <f t="shared" si="3"/>
        <v>10</v>
      </c>
      <c r="R17" s="31">
        <f t="shared" si="3"/>
        <v>0</v>
      </c>
      <c r="S17" s="31">
        <f t="shared" si="3"/>
        <v>0</v>
      </c>
      <c r="T17" s="31">
        <f t="shared" si="3"/>
        <v>0</v>
      </c>
      <c r="U17" s="31">
        <f t="shared" si="3"/>
        <v>0</v>
      </c>
      <c r="V17" s="31">
        <f t="shared" si="3"/>
        <v>0</v>
      </c>
      <c r="W17" s="31">
        <f t="shared" si="3"/>
        <v>0</v>
      </c>
      <c r="X17" s="31">
        <f t="shared" si="3"/>
        <v>0</v>
      </c>
      <c r="Y17" s="31">
        <f t="shared" si="3"/>
        <v>0</v>
      </c>
      <c r="Z17" s="31">
        <f t="shared" si="3"/>
        <v>0</v>
      </c>
    </row>
    <row r="18" ht="15.75" customHeight="1">
      <c r="A18" s="26"/>
      <c r="E18" s="26"/>
      <c r="F18" s="26"/>
    </row>
    <row r="19" ht="15.75" customHeight="1">
      <c r="A19" s="26"/>
      <c r="E19" s="26"/>
      <c r="F19" s="26"/>
    </row>
    <row r="20" ht="15.75" customHeight="1">
      <c r="A20" s="26"/>
      <c r="E20" s="33" t="s">
        <v>65</v>
      </c>
      <c r="F20" s="26"/>
    </row>
    <row r="21" ht="15.75" customHeight="1">
      <c r="A21" s="26"/>
      <c r="E21" s="34" t="s">
        <v>66</v>
      </c>
      <c r="F21" s="26"/>
      <c r="P21" s="35" t="s">
        <v>67</v>
      </c>
    </row>
    <row r="22" ht="15.75" customHeight="1">
      <c r="E22" s="36" t="s">
        <v>28</v>
      </c>
      <c r="F22" s="26"/>
    </row>
    <row r="23" ht="15.75" customHeight="1">
      <c r="A23" s="26"/>
      <c r="E23" s="37" t="s">
        <v>68</v>
      </c>
      <c r="F23" s="26"/>
    </row>
    <row r="24" ht="15.75" customHeight="1">
      <c r="A24" s="26"/>
      <c r="E24" s="26"/>
      <c r="F24" s="26"/>
    </row>
    <row r="25" ht="15.75" customHeight="1">
      <c r="A25" s="26"/>
      <c r="E25" s="26"/>
      <c r="F25" s="26"/>
    </row>
    <row r="26" ht="15.75" customHeight="1">
      <c r="A26" s="26"/>
      <c r="E26" s="26"/>
      <c r="F26" s="26"/>
    </row>
    <row r="27" ht="15.75" customHeight="1">
      <c r="A27" s="38"/>
      <c r="E27" s="26"/>
      <c r="F27" s="38"/>
    </row>
    <row r="28" ht="15.75" customHeight="1">
      <c r="A28" s="26"/>
      <c r="E28" s="26"/>
      <c r="F28" s="26"/>
    </row>
    <row r="29" ht="15.75" customHeight="1">
      <c r="A29" s="26"/>
      <c r="E29" s="26"/>
      <c r="F29" s="26"/>
    </row>
    <row r="30" ht="15.75" customHeight="1">
      <c r="A30" s="26"/>
      <c r="E30" s="26"/>
      <c r="F30" s="26"/>
    </row>
    <row r="31" ht="15.75" customHeight="1">
      <c r="A31" s="26"/>
      <c r="E31" s="26"/>
      <c r="F31" s="26"/>
    </row>
    <row r="32" ht="15.75" customHeight="1">
      <c r="A32" s="26"/>
      <c r="E32" s="26"/>
      <c r="F32" s="26"/>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E2:Z16">
    <cfRule type="cellIs" dxfId="0" priority="1" operator="equal">
      <formula>"TRUE"</formula>
    </cfRule>
  </conditionalFormatting>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2.63" defaultRowHeight="15.0"/>
  <cols>
    <col customWidth="1" min="1" max="1" width="12.63"/>
    <col customWidth="1" min="2" max="4" width="7.0"/>
    <col customWidth="1" min="5" max="6" width="12.63"/>
  </cols>
  <sheetData>
    <row r="1" ht="15.75" customHeight="1">
      <c r="B1" s="21" t="s">
        <v>29</v>
      </c>
      <c r="C1" s="21" t="s">
        <v>30</v>
      </c>
      <c r="D1" s="21" t="s">
        <v>31</v>
      </c>
      <c r="E1" s="21" t="s">
        <v>69</v>
      </c>
      <c r="F1" s="21" t="s">
        <v>70</v>
      </c>
      <c r="G1" s="21" t="s">
        <v>71</v>
      </c>
      <c r="H1" s="21" t="s">
        <v>72</v>
      </c>
      <c r="I1" s="21" t="s">
        <v>73</v>
      </c>
      <c r="J1" s="31" t="s">
        <v>74</v>
      </c>
      <c r="K1" s="21" t="s">
        <v>75</v>
      </c>
      <c r="L1" s="21" t="s">
        <v>76</v>
      </c>
      <c r="M1" s="21" t="s">
        <v>77</v>
      </c>
      <c r="N1" s="21" t="s">
        <v>78</v>
      </c>
      <c r="O1" s="23" t="s">
        <v>41</v>
      </c>
      <c r="P1" s="23" t="s">
        <v>41</v>
      </c>
      <c r="Q1" s="25" t="s">
        <v>48</v>
      </c>
      <c r="R1" s="25" t="s">
        <v>48</v>
      </c>
      <c r="S1" s="25" t="s">
        <v>48</v>
      </c>
      <c r="T1" s="25" t="s">
        <v>48</v>
      </c>
      <c r="U1" s="25" t="s">
        <v>48</v>
      </c>
      <c r="V1" s="24" t="s">
        <v>79</v>
      </c>
      <c r="W1" s="24" t="s">
        <v>80</v>
      </c>
      <c r="X1" s="24" t="s">
        <v>81</v>
      </c>
      <c r="Y1" s="24" t="s">
        <v>82</v>
      </c>
      <c r="Z1" s="24" t="s">
        <v>83</v>
      </c>
      <c r="AA1" s="24" t="s">
        <v>84</v>
      </c>
    </row>
    <row r="2" ht="15.75" customHeight="1">
      <c r="A2" s="27" t="s">
        <v>49</v>
      </c>
      <c r="B2" s="29">
        <f t="shared" ref="B2:B16" si="1">COUNTIF(E2:P2, TRUE) / COUNTA(E2:P2)</f>
        <v>1</v>
      </c>
      <c r="C2" s="29">
        <f t="shared" ref="C2:C16" si="2">COUNTIF(E2:AA2, TRUE) / COUNTA(E2:AA2)</f>
        <v>0.6956521739</v>
      </c>
      <c r="D2" s="21" t="s">
        <v>31</v>
      </c>
      <c r="E2" s="21" t="b">
        <v>1</v>
      </c>
      <c r="F2" s="21" t="b">
        <v>1</v>
      </c>
      <c r="G2" s="21" t="b">
        <v>1</v>
      </c>
      <c r="H2" s="21" t="b">
        <v>1</v>
      </c>
      <c r="I2" s="21" t="b">
        <v>1</v>
      </c>
      <c r="J2" s="21" t="b">
        <v>1</v>
      </c>
      <c r="K2" s="21" t="b">
        <v>1</v>
      </c>
      <c r="L2" s="21" t="b">
        <v>1</v>
      </c>
      <c r="M2" s="21" t="b">
        <v>1</v>
      </c>
      <c r="N2" s="21" t="b">
        <v>1</v>
      </c>
      <c r="O2" s="21" t="b">
        <v>1</v>
      </c>
      <c r="P2" s="21" t="b">
        <v>1</v>
      </c>
      <c r="Q2" s="21" t="b">
        <v>1</v>
      </c>
      <c r="R2" s="21" t="b">
        <v>1</v>
      </c>
      <c r="S2" s="21" t="b">
        <v>0</v>
      </c>
      <c r="T2" s="21" t="b">
        <v>0</v>
      </c>
      <c r="U2" s="21" t="b">
        <v>0</v>
      </c>
      <c r="V2" s="21" t="b">
        <v>0</v>
      </c>
      <c r="W2" s="21" t="b">
        <v>1</v>
      </c>
      <c r="X2" s="21" t="b">
        <v>0</v>
      </c>
      <c r="Y2" s="21" t="b">
        <v>1</v>
      </c>
      <c r="Z2" s="21" t="b">
        <v>0</v>
      </c>
      <c r="AA2" s="21" t="b">
        <v>0</v>
      </c>
    </row>
    <row r="3" ht="15.75" customHeight="1">
      <c r="A3" s="27" t="s">
        <v>50</v>
      </c>
      <c r="B3" s="29">
        <f t="shared" si="1"/>
        <v>0.9166666667</v>
      </c>
      <c r="C3" s="29">
        <f t="shared" si="2"/>
        <v>0.652173913</v>
      </c>
      <c r="D3" s="21" t="s">
        <v>31</v>
      </c>
      <c r="E3" s="21" t="b">
        <v>1</v>
      </c>
      <c r="F3" s="21" t="b">
        <v>1</v>
      </c>
      <c r="G3" s="21" t="b">
        <v>1</v>
      </c>
      <c r="H3" s="21" t="b">
        <v>1</v>
      </c>
      <c r="I3" s="21" t="b">
        <v>1</v>
      </c>
      <c r="J3" s="21" t="b">
        <v>1</v>
      </c>
      <c r="K3" s="21" t="b">
        <v>1</v>
      </c>
      <c r="L3" s="21" t="b">
        <v>1</v>
      </c>
      <c r="M3" s="21" t="b">
        <v>1</v>
      </c>
      <c r="N3" s="21" t="b">
        <v>0</v>
      </c>
      <c r="O3" s="21" t="b">
        <v>1</v>
      </c>
      <c r="P3" s="21" t="b">
        <v>1</v>
      </c>
      <c r="Q3" s="21" t="b">
        <v>1</v>
      </c>
      <c r="R3" s="21" t="b">
        <v>0</v>
      </c>
      <c r="S3" s="21" t="b">
        <v>0</v>
      </c>
      <c r="T3" s="21" t="b">
        <v>0</v>
      </c>
      <c r="U3" s="21" t="b">
        <v>0</v>
      </c>
      <c r="V3" s="21" t="b">
        <v>1</v>
      </c>
      <c r="W3" s="21" t="b">
        <v>1</v>
      </c>
      <c r="X3" s="21" t="b">
        <v>0</v>
      </c>
      <c r="Y3" s="21" t="b">
        <v>1</v>
      </c>
      <c r="Z3" s="21" t="b">
        <v>0</v>
      </c>
      <c r="AA3" s="21" t="b">
        <v>0</v>
      </c>
    </row>
    <row r="4" ht="15.75" customHeight="1">
      <c r="A4" s="26" t="s">
        <v>51</v>
      </c>
      <c r="B4" s="29">
        <f t="shared" si="1"/>
        <v>0.75</v>
      </c>
      <c r="C4" s="29">
        <f t="shared" si="2"/>
        <v>0.652173913</v>
      </c>
      <c r="D4" s="29"/>
      <c r="E4" s="21" t="b">
        <v>1</v>
      </c>
      <c r="F4" s="21" t="b">
        <v>1</v>
      </c>
      <c r="G4" s="21" t="b">
        <v>0</v>
      </c>
      <c r="H4" s="21" t="b">
        <v>0</v>
      </c>
      <c r="I4" s="21" t="b">
        <v>0</v>
      </c>
      <c r="J4" s="21" t="b">
        <v>1</v>
      </c>
      <c r="K4" s="21" t="b">
        <v>1</v>
      </c>
      <c r="L4" s="21" t="b">
        <v>1</v>
      </c>
      <c r="M4" s="21" t="b">
        <v>1</v>
      </c>
      <c r="N4" s="21" t="b">
        <v>1</v>
      </c>
      <c r="O4" s="21" t="b">
        <v>1</v>
      </c>
      <c r="P4" s="21" t="b">
        <v>1</v>
      </c>
      <c r="Q4" s="21" t="b">
        <v>1</v>
      </c>
      <c r="R4" s="21" t="b">
        <v>1</v>
      </c>
      <c r="S4" s="21" t="b">
        <v>1</v>
      </c>
      <c r="T4" s="21" t="b">
        <v>1</v>
      </c>
      <c r="U4" s="21" t="b">
        <v>1</v>
      </c>
      <c r="V4" s="21" t="b">
        <v>0</v>
      </c>
      <c r="W4" s="21" t="b">
        <v>0</v>
      </c>
      <c r="X4" s="21" t="b">
        <v>0</v>
      </c>
      <c r="Y4" s="21" t="b">
        <v>1</v>
      </c>
      <c r="Z4" s="21" t="b">
        <v>0</v>
      </c>
      <c r="AA4" s="21" t="b">
        <v>0</v>
      </c>
    </row>
    <row r="5" ht="15.75" customHeight="1">
      <c r="A5" s="27" t="s">
        <v>52</v>
      </c>
      <c r="B5" s="29">
        <f t="shared" si="1"/>
        <v>1</v>
      </c>
      <c r="C5" s="29">
        <f t="shared" si="2"/>
        <v>0.7391304348</v>
      </c>
      <c r="D5" s="21" t="s">
        <v>31</v>
      </c>
      <c r="E5" s="21" t="b">
        <v>1</v>
      </c>
      <c r="F5" s="21" t="b">
        <v>1</v>
      </c>
      <c r="G5" s="21" t="b">
        <v>1</v>
      </c>
      <c r="H5" s="21" t="b">
        <v>1</v>
      </c>
      <c r="I5" s="21" t="b">
        <v>1</v>
      </c>
      <c r="J5" s="21" t="b">
        <v>1</v>
      </c>
      <c r="K5" s="21" t="b">
        <v>1</v>
      </c>
      <c r="L5" s="21" t="b">
        <v>1</v>
      </c>
      <c r="M5" s="21" t="b">
        <v>1</v>
      </c>
      <c r="N5" s="21" t="b">
        <v>1</v>
      </c>
      <c r="O5" s="21" t="b">
        <v>1</v>
      </c>
      <c r="P5" s="21" t="b">
        <v>1</v>
      </c>
      <c r="Q5" s="21" t="b">
        <v>1</v>
      </c>
      <c r="R5" s="21" t="b">
        <v>1</v>
      </c>
      <c r="S5" s="21" t="b">
        <v>1</v>
      </c>
      <c r="T5" s="21" t="b">
        <v>1</v>
      </c>
      <c r="U5" s="21" t="b">
        <v>0</v>
      </c>
      <c r="V5" s="21" t="b">
        <v>0</v>
      </c>
      <c r="W5" s="21" t="b">
        <v>0</v>
      </c>
      <c r="X5" s="21" t="b">
        <v>0</v>
      </c>
      <c r="Y5" s="21" t="b">
        <v>1</v>
      </c>
      <c r="Z5" s="21" t="b">
        <v>0</v>
      </c>
      <c r="AA5" s="21" t="b">
        <v>0</v>
      </c>
    </row>
    <row r="6" ht="15.75" customHeight="1">
      <c r="A6" s="27" t="s">
        <v>53</v>
      </c>
      <c r="B6" s="29">
        <f t="shared" si="1"/>
        <v>1</v>
      </c>
      <c r="C6" s="29">
        <f t="shared" si="2"/>
        <v>0.652173913</v>
      </c>
      <c r="D6" s="21" t="s">
        <v>31</v>
      </c>
      <c r="E6" s="21" t="b">
        <v>1</v>
      </c>
      <c r="F6" s="21" t="b">
        <v>1</v>
      </c>
      <c r="G6" s="21" t="b">
        <v>1</v>
      </c>
      <c r="H6" s="21" t="b">
        <v>1</v>
      </c>
      <c r="I6" s="21" t="b">
        <v>1</v>
      </c>
      <c r="J6" s="21" t="b">
        <v>1</v>
      </c>
      <c r="K6" s="21" t="b">
        <v>1</v>
      </c>
      <c r="L6" s="21" t="b">
        <v>1</v>
      </c>
      <c r="M6" s="21" t="b">
        <v>1</v>
      </c>
      <c r="N6" s="21" t="b">
        <v>1</v>
      </c>
      <c r="O6" s="21" t="b">
        <v>1</v>
      </c>
      <c r="P6" s="21" t="b">
        <v>1</v>
      </c>
      <c r="Q6" s="21" t="b">
        <v>1</v>
      </c>
      <c r="R6" s="21" t="b">
        <v>1</v>
      </c>
      <c r="S6" s="21" t="b">
        <v>0</v>
      </c>
      <c r="T6" s="21" t="b">
        <v>0</v>
      </c>
      <c r="U6" s="21" t="b">
        <v>0</v>
      </c>
      <c r="V6" s="21" t="b">
        <v>0</v>
      </c>
      <c r="W6" s="21" t="b">
        <v>0</v>
      </c>
      <c r="X6" s="21" t="b">
        <v>0</v>
      </c>
      <c r="Y6" s="21" t="b">
        <v>1</v>
      </c>
      <c r="Z6" s="21" t="b">
        <v>0</v>
      </c>
      <c r="AA6" s="21" t="b">
        <v>0</v>
      </c>
    </row>
    <row r="7" ht="15.75" customHeight="1">
      <c r="A7" s="26" t="s">
        <v>54</v>
      </c>
      <c r="B7" s="29">
        <f t="shared" si="1"/>
        <v>0.75</v>
      </c>
      <c r="C7" s="29">
        <f t="shared" si="2"/>
        <v>0.4782608696</v>
      </c>
      <c r="D7" s="29"/>
      <c r="E7" s="21" t="b">
        <v>1</v>
      </c>
      <c r="F7" s="21" t="b">
        <v>1</v>
      </c>
      <c r="G7" s="21" t="b">
        <v>0</v>
      </c>
      <c r="H7" s="21" t="b">
        <v>0</v>
      </c>
      <c r="I7" s="21" t="b">
        <v>0</v>
      </c>
      <c r="J7" s="21" t="b">
        <v>1</v>
      </c>
      <c r="K7" s="21" t="b">
        <v>1</v>
      </c>
      <c r="L7" s="21" t="b">
        <v>1</v>
      </c>
      <c r="M7" s="21" t="b">
        <v>1</v>
      </c>
      <c r="N7" s="21" t="b">
        <v>1</v>
      </c>
      <c r="O7" s="21" t="b">
        <v>1</v>
      </c>
      <c r="P7" s="21" t="b">
        <v>1</v>
      </c>
      <c r="Q7" s="21" t="b">
        <v>1</v>
      </c>
      <c r="R7" s="21" t="b">
        <v>0</v>
      </c>
      <c r="S7" s="21" t="b">
        <v>0</v>
      </c>
      <c r="T7" s="21" t="b">
        <v>0</v>
      </c>
      <c r="U7" s="21" t="b">
        <v>0</v>
      </c>
      <c r="V7" s="21" t="b">
        <v>0</v>
      </c>
      <c r="W7" s="21" t="b">
        <v>0</v>
      </c>
      <c r="X7" s="21" t="b">
        <v>0</v>
      </c>
      <c r="Y7" s="21" t="b">
        <v>1</v>
      </c>
      <c r="Z7" s="21" t="b">
        <v>0</v>
      </c>
      <c r="AA7" s="21" t="b">
        <v>0</v>
      </c>
    </row>
    <row r="8" ht="15.75" customHeight="1">
      <c r="A8" s="27" t="s">
        <v>55</v>
      </c>
      <c r="B8" s="29">
        <f t="shared" si="1"/>
        <v>1</v>
      </c>
      <c r="C8" s="29">
        <f t="shared" si="2"/>
        <v>0.7826086957</v>
      </c>
      <c r="D8" s="21" t="s">
        <v>31</v>
      </c>
      <c r="E8" s="21" t="b">
        <v>1</v>
      </c>
      <c r="F8" s="21" t="b">
        <v>1</v>
      </c>
      <c r="G8" s="21" t="b">
        <v>1</v>
      </c>
      <c r="H8" s="21" t="b">
        <v>1</v>
      </c>
      <c r="I8" s="21" t="b">
        <v>1</v>
      </c>
      <c r="J8" s="21" t="b">
        <v>1</v>
      </c>
      <c r="K8" s="21" t="b">
        <v>1</v>
      </c>
      <c r="L8" s="21" t="b">
        <v>1</v>
      </c>
      <c r="M8" s="21" t="b">
        <v>1</v>
      </c>
      <c r="N8" s="21" t="b">
        <v>1</v>
      </c>
      <c r="O8" s="21" t="b">
        <v>1</v>
      </c>
      <c r="P8" s="21" t="b">
        <v>1</v>
      </c>
      <c r="Q8" s="21" t="b">
        <v>1</v>
      </c>
      <c r="R8" s="21" t="b">
        <v>1</v>
      </c>
      <c r="S8" s="21" t="b">
        <v>1</v>
      </c>
      <c r="T8" s="21" t="b">
        <v>1</v>
      </c>
      <c r="U8" s="21" t="b">
        <v>1</v>
      </c>
      <c r="V8" s="21" t="b">
        <v>0</v>
      </c>
      <c r="W8" s="21" t="b">
        <v>0</v>
      </c>
      <c r="X8" s="21" t="b">
        <v>0</v>
      </c>
      <c r="Y8" s="21" t="b">
        <v>1</v>
      </c>
      <c r="Z8" s="21" t="b">
        <v>0</v>
      </c>
      <c r="AA8" s="21" t="b">
        <v>0</v>
      </c>
    </row>
    <row r="9" ht="15.75" customHeight="1">
      <c r="A9" s="27" t="s">
        <v>56</v>
      </c>
      <c r="B9" s="29">
        <f t="shared" si="1"/>
        <v>1</v>
      </c>
      <c r="C9" s="29">
        <f t="shared" si="2"/>
        <v>0.8260869565</v>
      </c>
      <c r="D9" s="21" t="s">
        <v>31</v>
      </c>
      <c r="E9" s="21" t="b">
        <v>1</v>
      </c>
      <c r="F9" s="21" t="b">
        <v>1</v>
      </c>
      <c r="G9" s="21" t="b">
        <v>1</v>
      </c>
      <c r="H9" s="21" t="b">
        <v>1</v>
      </c>
      <c r="I9" s="21" t="b">
        <v>1</v>
      </c>
      <c r="J9" s="21" t="b">
        <v>1</v>
      </c>
      <c r="K9" s="21" t="b">
        <v>1</v>
      </c>
      <c r="L9" s="21" t="b">
        <v>1</v>
      </c>
      <c r="M9" s="21" t="b">
        <v>1</v>
      </c>
      <c r="N9" s="21" t="b">
        <v>1</v>
      </c>
      <c r="O9" s="21" t="b">
        <v>1</v>
      </c>
      <c r="P9" s="21" t="b">
        <v>1</v>
      </c>
      <c r="Q9" s="21" t="b">
        <v>1</v>
      </c>
      <c r="R9" s="21" t="b">
        <v>1</v>
      </c>
      <c r="S9" s="21" t="b">
        <v>1</v>
      </c>
      <c r="T9" s="21" t="b">
        <v>1</v>
      </c>
      <c r="U9" s="21" t="b">
        <v>1</v>
      </c>
      <c r="V9" s="21" t="b">
        <v>0</v>
      </c>
      <c r="W9" s="21" t="b">
        <v>1</v>
      </c>
      <c r="X9" s="21" t="b">
        <v>0</v>
      </c>
      <c r="Y9" s="21" t="b">
        <v>1</v>
      </c>
      <c r="Z9" s="21" t="b">
        <v>0</v>
      </c>
      <c r="AA9" s="21" t="b">
        <v>0</v>
      </c>
    </row>
    <row r="10" ht="15.75" customHeight="1">
      <c r="A10" s="27" t="s">
        <v>57</v>
      </c>
      <c r="B10" s="29">
        <f t="shared" si="1"/>
        <v>1</v>
      </c>
      <c r="C10" s="29">
        <f t="shared" si="2"/>
        <v>0.8260869565</v>
      </c>
      <c r="D10" s="21" t="s">
        <v>31</v>
      </c>
      <c r="E10" s="21" t="b">
        <v>1</v>
      </c>
      <c r="F10" s="21" t="b">
        <v>1</v>
      </c>
      <c r="G10" s="21" t="b">
        <v>1</v>
      </c>
      <c r="H10" s="21" t="b">
        <v>1</v>
      </c>
      <c r="I10" s="21" t="b">
        <v>1</v>
      </c>
      <c r="J10" s="21" t="b">
        <v>1</v>
      </c>
      <c r="K10" s="21" t="b">
        <v>1</v>
      </c>
      <c r="L10" s="21" t="b">
        <v>1</v>
      </c>
      <c r="M10" s="21" t="b">
        <v>1</v>
      </c>
      <c r="N10" s="21" t="b">
        <v>1</v>
      </c>
      <c r="O10" s="21" t="b">
        <v>1</v>
      </c>
      <c r="P10" s="21" t="b">
        <v>1</v>
      </c>
      <c r="Q10" s="21" t="b">
        <v>1</v>
      </c>
      <c r="R10" s="21" t="b">
        <v>1</v>
      </c>
      <c r="S10" s="21" t="b">
        <v>1</v>
      </c>
      <c r="T10" s="21" t="b">
        <v>1</v>
      </c>
      <c r="U10" s="21" t="b">
        <v>1</v>
      </c>
      <c r="V10" s="21" t="b">
        <v>0</v>
      </c>
      <c r="W10" s="21" t="b">
        <v>1</v>
      </c>
      <c r="X10" s="21" t="b">
        <v>0</v>
      </c>
      <c r="Y10" s="21" t="b">
        <v>1</v>
      </c>
      <c r="Z10" s="21" t="b">
        <v>0</v>
      </c>
      <c r="AA10" s="21" t="b">
        <v>0</v>
      </c>
    </row>
    <row r="11" ht="15.75" customHeight="1">
      <c r="A11" s="30" t="s">
        <v>58</v>
      </c>
      <c r="B11" s="29">
        <f t="shared" si="1"/>
        <v>0.8333333333</v>
      </c>
      <c r="C11" s="29">
        <f t="shared" si="2"/>
        <v>0.7391304348</v>
      </c>
      <c r="D11" s="29"/>
      <c r="E11" s="21" t="b">
        <v>1</v>
      </c>
      <c r="F11" s="21" t="b">
        <v>1</v>
      </c>
      <c r="G11" s="21" t="b">
        <v>0</v>
      </c>
      <c r="H11" s="21" t="b">
        <v>1</v>
      </c>
      <c r="I11" s="21" t="b">
        <v>0</v>
      </c>
      <c r="J11" s="21" t="b">
        <v>1</v>
      </c>
      <c r="K11" s="21" t="b">
        <v>1</v>
      </c>
      <c r="L11" s="21" t="b">
        <v>1</v>
      </c>
      <c r="M11" s="21" t="b">
        <v>1</v>
      </c>
      <c r="N11" s="21" t="b">
        <v>1</v>
      </c>
      <c r="O11" s="21" t="b">
        <v>1</v>
      </c>
      <c r="P11" s="21" t="b">
        <v>1</v>
      </c>
      <c r="Q11" s="21" t="b">
        <v>1</v>
      </c>
      <c r="R11" s="21" t="b">
        <v>1</v>
      </c>
      <c r="S11" s="21" t="b">
        <v>1</v>
      </c>
      <c r="T11" s="21" t="b">
        <v>1</v>
      </c>
      <c r="U11" s="21" t="b">
        <v>1</v>
      </c>
      <c r="V11" s="21" t="b">
        <v>0</v>
      </c>
      <c r="W11" s="21" t="b">
        <v>0</v>
      </c>
      <c r="X11" s="21" t="b">
        <v>0</v>
      </c>
      <c r="Y11" s="21" t="b">
        <v>1</v>
      </c>
      <c r="Z11" s="21" t="b">
        <v>1</v>
      </c>
      <c r="AA11" s="21" t="b">
        <v>0</v>
      </c>
    </row>
    <row r="12" ht="15.75" customHeight="1">
      <c r="A12" s="27" t="s">
        <v>59</v>
      </c>
      <c r="B12" s="29">
        <f t="shared" si="1"/>
        <v>1</v>
      </c>
      <c r="C12" s="29">
        <f t="shared" si="2"/>
        <v>0.7391304348</v>
      </c>
      <c r="D12" s="21" t="s">
        <v>31</v>
      </c>
      <c r="E12" s="21" t="b">
        <v>1</v>
      </c>
      <c r="F12" s="21" t="b">
        <v>1</v>
      </c>
      <c r="G12" s="21" t="b">
        <v>1</v>
      </c>
      <c r="H12" s="21" t="b">
        <v>1</v>
      </c>
      <c r="I12" s="21" t="b">
        <v>1</v>
      </c>
      <c r="J12" s="21" t="b">
        <v>1</v>
      </c>
      <c r="K12" s="21" t="b">
        <v>1</v>
      </c>
      <c r="L12" s="21" t="b">
        <v>1</v>
      </c>
      <c r="M12" s="21" t="b">
        <v>1</v>
      </c>
      <c r="N12" s="21" t="b">
        <v>1</v>
      </c>
      <c r="O12" s="21" t="b">
        <v>1</v>
      </c>
      <c r="P12" s="21" t="b">
        <v>1</v>
      </c>
      <c r="Q12" s="21" t="b">
        <v>1</v>
      </c>
      <c r="R12" s="21" t="b">
        <v>1</v>
      </c>
      <c r="S12" s="21" t="b">
        <v>1</v>
      </c>
      <c r="T12" s="21" t="b">
        <v>1</v>
      </c>
      <c r="U12" s="21" t="b">
        <v>0</v>
      </c>
      <c r="V12" s="21" t="b">
        <v>0</v>
      </c>
      <c r="W12" s="21" t="b">
        <v>0</v>
      </c>
      <c r="X12" s="21" t="b">
        <v>0</v>
      </c>
      <c r="Y12" s="21" t="b">
        <v>1</v>
      </c>
      <c r="Z12" s="21" t="b">
        <v>0</v>
      </c>
      <c r="AA12" s="21" t="b">
        <v>0</v>
      </c>
    </row>
    <row r="13" ht="15.75" customHeight="1">
      <c r="A13" s="27" t="s">
        <v>60</v>
      </c>
      <c r="B13" s="29">
        <f t="shared" si="1"/>
        <v>1</v>
      </c>
      <c r="C13" s="29">
        <f t="shared" si="2"/>
        <v>0.6956521739</v>
      </c>
      <c r="D13" s="21" t="s">
        <v>31</v>
      </c>
      <c r="E13" s="21" t="b">
        <v>1</v>
      </c>
      <c r="F13" s="21" t="b">
        <v>1</v>
      </c>
      <c r="G13" s="21" t="b">
        <v>1</v>
      </c>
      <c r="H13" s="21" t="b">
        <v>1</v>
      </c>
      <c r="I13" s="21" t="b">
        <v>1</v>
      </c>
      <c r="J13" s="21" t="b">
        <v>1</v>
      </c>
      <c r="K13" s="21" t="b">
        <v>1</v>
      </c>
      <c r="L13" s="21" t="b">
        <v>1</v>
      </c>
      <c r="M13" s="21" t="b">
        <v>1</v>
      </c>
      <c r="N13" s="21" t="b">
        <v>1</v>
      </c>
      <c r="O13" s="21" t="b">
        <v>1</v>
      </c>
      <c r="P13" s="21" t="b">
        <v>1</v>
      </c>
      <c r="Q13" s="21" t="b">
        <v>1</v>
      </c>
      <c r="R13" s="21" t="b">
        <v>1</v>
      </c>
      <c r="S13" s="21" t="b">
        <v>0</v>
      </c>
      <c r="T13" s="21" t="b">
        <v>0</v>
      </c>
      <c r="U13" s="21" t="b">
        <v>0</v>
      </c>
      <c r="V13" s="21" t="b">
        <v>0</v>
      </c>
      <c r="W13" s="21" t="b">
        <v>1</v>
      </c>
      <c r="X13" s="21" t="b">
        <v>0</v>
      </c>
      <c r="Y13" s="21" t="b">
        <v>1</v>
      </c>
      <c r="Z13" s="21" t="b">
        <v>0</v>
      </c>
      <c r="AA13" s="21" t="b">
        <v>0</v>
      </c>
    </row>
    <row r="14" ht="15.75" customHeight="1">
      <c r="A14" s="27" t="s">
        <v>61</v>
      </c>
      <c r="B14" s="29">
        <f t="shared" si="1"/>
        <v>1</v>
      </c>
      <c r="C14" s="29">
        <f t="shared" si="2"/>
        <v>0.8260869565</v>
      </c>
      <c r="D14" s="21" t="s">
        <v>31</v>
      </c>
      <c r="E14" s="21" t="b">
        <v>1</v>
      </c>
      <c r="F14" s="21" t="b">
        <v>1</v>
      </c>
      <c r="G14" s="21" t="b">
        <v>1</v>
      </c>
      <c r="H14" s="21" t="b">
        <v>1</v>
      </c>
      <c r="I14" s="21" t="b">
        <v>1</v>
      </c>
      <c r="J14" s="21" t="b">
        <v>1</v>
      </c>
      <c r="K14" s="21" t="b">
        <v>1</v>
      </c>
      <c r="L14" s="21" t="b">
        <v>1</v>
      </c>
      <c r="M14" s="21" t="b">
        <v>1</v>
      </c>
      <c r="N14" s="21" t="b">
        <v>1</v>
      </c>
      <c r="O14" s="21" t="b">
        <v>1</v>
      </c>
      <c r="P14" s="21" t="b">
        <v>1</v>
      </c>
      <c r="Q14" s="21" t="b">
        <v>1</v>
      </c>
      <c r="R14" s="21" t="b">
        <v>1</v>
      </c>
      <c r="S14" s="21" t="b">
        <v>1</v>
      </c>
      <c r="T14" s="21" t="b">
        <v>1</v>
      </c>
      <c r="U14" s="21" t="b">
        <v>1</v>
      </c>
      <c r="V14" s="21" t="b">
        <v>1</v>
      </c>
      <c r="W14" s="21" t="b">
        <v>0</v>
      </c>
      <c r="X14" s="21" t="b">
        <v>0</v>
      </c>
      <c r="Y14" s="21" t="b">
        <v>1</v>
      </c>
      <c r="Z14" s="21" t="b">
        <v>0</v>
      </c>
      <c r="AA14" s="21" t="b">
        <v>0</v>
      </c>
    </row>
    <row r="15" ht="15.75" customHeight="1">
      <c r="A15" s="26" t="s">
        <v>62</v>
      </c>
      <c r="B15" s="29">
        <f t="shared" si="1"/>
        <v>0.6666666667</v>
      </c>
      <c r="C15" s="29">
        <f t="shared" si="2"/>
        <v>0.4782608696</v>
      </c>
      <c r="D15" s="29"/>
      <c r="E15" s="21" t="b">
        <v>1</v>
      </c>
      <c r="F15" s="21" t="b">
        <v>1</v>
      </c>
      <c r="G15" s="21" t="b">
        <v>0</v>
      </c>
      <c r="H15" s="21" t="b">
        <v>0</v>
      </c>
      <c r="I15" s="21" t="b">
        <v>0</v>
      </c>
      <c r="J15" s="21" t="b">
        <v>1</v>
      </c>
      <c r="K15" s="21" t="b">
        <v>0</v>
      </c>
      <c r="L15" s="21" t="b">
        <v>1</v>
      </c>
      <c r="M15" s="21" t="b">
        <v>1</v>
      </c>
      <c r="N15" s="21" t="b">
        <v>1</v>
      </c>
      <c r="O15" s="21" t="b">
        <v>1</v>
      </c>
      <c r="P15" s="21" t="b">
        <v>1</v>
      </c>
      <c r="Q15" s="21" t="b">
        <v>1</v>
      </c>
      <c r="R15" s="21" t="b">
        <v>1</v>
      </c>
      <c r="S15" s="21" t="b">
        <v>0</v>
      </c>
      <c r="T15" s="21" t="b">
        <v>0</v>
      </c>
      <c r="U15" s="21" t="b">
        <v>0</v>
      </c>
      <c r="V15" s="21" t="b">
        <v>0</v>
      </c>
      <c r="W15" s="21" t="b">
        <v>0</v>
      </c>
      <c r="X15" s="21" t="b">
        <v>0</v>
      </c>
      <c r="Y15" s="21" t="b">
        <v>1</v>
      </c>
      <c r="Z15" s="21" t="b">
        <v>0</v>
      </c>
      <c r="AA15" s="21" t="b">
        <v>0</v>
      </c>
    </row>
    <row r="16" ht="15.75" customHeight="1">
      <c r="A16" s="27" t="s">
        <v>63</v>
      </c>
      <c r="B16" s="29">
        <f t="shared" si="1"/>
        <v>1</v>
      </c>
      <c r="C16" s="29">
        <f t="shared" si="2"/>
        <v>0.7391304348</v>
      </c>
      <c r="D16" s="21" t="s">
        <v>31</v>
      </c>
      <c r="E16" s="21" t="b">
        <v>1</v>
      </c>
      <c r="F16" s="21" t="b">
        <v>1</v>
      </c>
      <c r="G16" s="21" t="b">
        <v>1</v>
      </c>
      <c r="H16" s="21" t="b">
        <v>1</v>
      </c>
      <c r="I16" s="21" t="b">
        <v>1</v>
      </c>
      <c r="J16" s="21" t="b">
        <v>1</v>
      </c>
      <c r="K16" s="21" t="b">
        <v>1</v>
      </c>
      <c r="L16" s="21" t="b">
        <v>1</v>
      </c>
      <c r="M16" s="21" t="b">
        <v>1</v>
      </c>
      <c r="N16" s="21" t="b">
        <v>1</v>
      </c>
      <c r="O16" s="21" t="b">
        <v>1</v>
      </c>
      <c r="P16" s="21" t="b">
        <v>1</v>
      </c>
      <c r="Q16" s="21" t="b">
        <v>1</v>
      </c>
      <c r="R16" s="21" t="b">
        <v>1</v>
      </c>
      <c r="S16" s="21" t="b">
        <v>0</v>
      </c>
      <c r="T16" s="21" t="b">
        <v>0</v>
      </c>
      <c r="U16" s="21" t="b">
        <v>0</v>
      </c>
      <c r="V16" s="21" t="b">
        <v>1</v>
      </c>
      <c r="W16" s="21" t="b">
        <v>1</v>
      </c>
      <c r="X16" s="21" t="b">
        <v>0</v>
      </c>
      <c r="Y16" s="21" t="b">
        <v>1</v>
      </c>
      <c r="Z16" s="21" t="b">
        <v>0</v>
      </c>
      <c r="AA16" s="21" t="b">
        <v>0</v>
      </c>
    </row>
    <row r="17" ht="15.75" customHeight="1">
      <c r="A17" s="10" t="s">
        <v>64</v>
      </c>
      <c r="B17" s="21"/>
      <c r="C17" s="21"/>
      <c r="D17" s="21"/>
      <c r="E17" s="10">
        <f t="shared" ref="E17:AA17" si="3">COUNTIF(E2:E16, TRUE)</f>
        <v>15</v>
      </c>
      <c r="F17" s="10">
        <f t="shared" si="3"/>
        <v>15</v>
      </c>
      <c r="G17" s="10">
        <f t="shared" si="3"/>
        <v>11</v>
      </c>
      <c r="H17" s="10">
        <f t="shared" si="3"/>
        <v>12</v>
      </c>
      <c r="I17" s="10">
        <f t="shared" si="3"/>
        <v>11</v>
      </c>
      <c r="J17" s="10">
        <f t="shared" si="3"/>
        <v>15</v>
      </c>
      <c r="K17" s="10">
        <f t="shared" si="3"/>
        <v>14</v>
      </c>
      <c r="L17" s="10">
        <f t="shared" si="3"/>
        <v>15</v>
      </c>
      <c r="M17" s="10">
        <f t="shared" si="3"/>
        <v>15</v>
      </c>
      <c r="N17" s="10">
        <f t="shared" si="3"/>
        <v>14</v>
      </c>
      <c r="O17" s="10">
        <f t="shared" si="3"/>
        <v>15</v>
      </c>
      <c r="P17" s="10">
        <f t="shared" si="3"/>
        <v>15</v>
      </c>
      <c r="Q17" s="10">
        <f t="shared" si="3"/>
        <v>15</v>
      </c>
      <c r="R17" s="10">
        <f t="shared" si="3"/>
        <v>13</v>
      </c>
      <c r="S17" s="10">
        <f t="shared" si="3"/>
        <v>8</v>
      </c>
      <c r="T17" s="10">
        <f t="shared" si="3"/>
        <v>8</v>
      </c>
      <c r="U17" s="10">
        <f t="shared" si="3"/>
        <v>6</v>
      </c>
      <c r="V17" s="10">
        <f t="shared" si="3"/>
        <v>3</v>
      </c>
      <c r="W17" s="10">
        <f t="shared" si="3"/>
        <v>6</v>
      </c>
      <c r="X17" s="10">
        <f t="shared" si="3"/>
        <v>0</v>
      </c>
      <c r="Y17" s="10">
        <f t="shared" si="3"/>
        <v>15</v>
      </c>
      <c r="Z17" s="10">
        <f t="shared" si="3"/>
        <v>1</v>
      </c>
      <c r="AA17" s="10">
        <f t="shared" si="3"/>
        <v>0</v>
      </c>
    </row>
    <row r="18" ht="15.75" customHeight="1">
      <c r="B18" s="21"/>
      <c r="C18" s="21"/>
      <c r="D18" s="21"/>
    </row>
    <row r="19" ht="15.75" customHeight="1">
      <c r="B19" s="21"/>
      <c r="C19" s="21"/>
      <c r="D19" s="21"/>
      <c r="I19" s="39"/>
    </row>
    <row r="20" ht="15.75" customHeight="1">
      <c r="B20" s="21"/>
      <c r="C20" s="21"/>
      <c r="D20" s="21"/>
    </row>
    <row r="21" ht="15.75" customHeight="1">
      <c r="B21" s="21"/>
      <c r="C21" s="21"/>
      <c r="D21" s="21"/>
      <c r="E21" s="33" t="s">
        <v>65</v>
      </c>
    </row>
    <row r="22" ht="15.75" customHeight="1">
      <c r="B22" s="21"/>
      <c r="C22" s="21"/>
      <c r="D22" s="21"/>
      <c r="E22" s="34" t="s">
        <v>66</v>
      </c>
    </row>
    <row r="23" ht="15.75" customHeight="1">
      <c r="B23" s="21"/>
      <c r="C23" s="21"/>
      <c r="D23" s="21"/>
      <c r="E23" s="36" t="s">
        <v>28</v>
      </c>
    </row>
    <row r="24" ht="15.75" customHeight="1">
      <c r="B24" s="21"/>
      <c r="C24" s="21"/>
      <c r="D24" s="21"/>
      <c r="E24" s="37" t="s">
        <v>68</v>
      </c>
    </row>
    <row r="25" ht="15.75" customHeight="1">
      <c r="B25" s="21"/>
      <c r="C25" s="21"/>
      <c r="D25" s="21"/>
      <c r="E25" s="26"/>
    </row>
    <row r="26" ht="15.75" customHeight="1">
      <c r="B26" s="21"/>
      <c r="C26" s="21"/>
      <c r="D26" s="21"/>
      <c r="E26" s="26"/>
    </row>
    <row r="27" ht="15.75" customHeight="1">
      <c r="B27" s="21"/>
      <c r="C27" s="21"/>
      <c r="D27" s="21"/>
      <c r="E27" s="26"/>
    </row>
    <row r="28" ht="15.75" customHeight="1">
      <c r="B28" s="21"/>
      <c r="C28" s="21"/>
      <c r="D28" s="21"/>
      <c r="E28" s="26"/>
    </row>
    <row r="29" ht="15.75" customHeight="1">
      <c r="B29" s="21"/>
      <c r="C29" s="21"/>
      <c r="D29" s="21"/>
      <c r="E29" s="26"/>
    </row>
    <row r="30" ht="15.75" customHeight="1">
      <c r="B30" s="21"/>
      <c r="C30" s="21"/>
      <c r="D30" s="21"/>
      <c r="E30" s="26"/>
    </row>
    <row r="31" ht="15.75" customHeight="1">
      <c r="B31" s="21"/>
      <c r="C31" s="21"/>
      <c r="D31" s="21"/>
      <c r="E31" s="26"/>
    </row>
    <row r="32" ht="15.75" customHeight="1">
      <c r="B32" s="21"/>
      <c r="C32" s="21"/>
      <c r="D32" s="21"/>
      <c r="E32" s="26"/>
    </row>
    <row r="33" ht="15.75" customHeight="1">
      <c r="B33" s="21"/>
      <c r="C33" s="21"/>
      <c r="D33" s="21"/>
      <c r="E33" s="26"/>
    </row>
    <row r="34" ht="15.75" customHeight="1">
      <c r="B34" s="21"/>
      <c r="C34" s="21"/>
      <c r="D34" s="21"/>
      <c r="E34" s="26"/>
    </row>
    <row r="35" ht="15.75" customHeight="1">
      <c r="B35" s="21"/>
      <c r="C35" s="21"/>
      <c r="D35" s="21"/>
      <c r="E35" s="26"/>
    </row>
    <row r="36" ht="15.75" customHeight="1">
      <c r="B36" s="21"/>
      <c r="C36" s="21"/>
      <c r="D36" s="21"/>
      <c r="E36" s="26"/>
    </row>
    <row r="37" ht="15.75" customHeight="1">
      <c r="B37" s="21"/>
      <c r="C37" s="21"/>
      <c r="D37" s="21"/>
    </row>
    <row r="38" ht="15.75" customHeight="1">
      <c r="B38" s="21"/>
      <c r="C38" s="21"/>
      <c r="D38" s="21"/>
    </row>
    <row r="39" ht="15.75" customHeight="1">
      <c r="B39" s="21"/>
      <c r="C39" s="21"/>
      <c r="D39" s="21"/>
    </row>
    <row r="40" ht="15.75" customHeight="1">
      <c r="B40" s="21"/>
      <c r="C40" s="21"/>
      <c r="D40" s="21"/>
    </row>
    <row r="41" ht="15.75" customHeight="1">
      <c r="B41" s="21"/>
      <c r="C41" s="21"/>
      <c r="D41" s="21"/>
    </row>
    <row r="42" ht="15.75" customHeight="1">
      <c r="B42" s="21"/>
      <c r="C42" s="21"/>
      <c r="D42" s="21"/>
    </row>
    <row r="43" ht="15.75" customHeight="1">
      <c r="B43" s="21"/>
      <c r="C43" s="21"/>
      <c r="D43" s="21"/>
    </row>
    <row r="44" ht="15.75" customHeight="1">
      <c r="B44" s="21"/>
      <c r="C44" s="21"/>
      <c r="D44" s="21"/>
    </row>
    <row r="45" ht="15.75" customHeight="1">
      <c r="B45" s="21"/>
      <c r="C45" s="21"/>
      <c r="D45" s="21"/>
    </row>
    <row r="46" ht="15.75" customHeight="1">
      <c r="B46" s="21"/>
      <c r="C46" s="21"/>
      <c r="D46" s="21"/>
    </row>
    <row r="47" ht="15.75" customHeight="1">
      <c r="B47" s="21"/>
      <c r="C47" s="21"/>
      <c r="D47" s="21"/>
    </row>
    <row r="48" ht="15.75" customHeight="1">
      <c r="B48" s="21"/>
      <c r="C48" s="21"/>
      <c r="D48" s="21"/>
    </row>
    <row r="49" ht="15.75" customHeight="1">
      <c r="B49" s="21"/>
      <c r="C49" s="21"/>
      <c r="D49" s="21"/>
    </row>
    <row r="50" ht="15.75" customHeight="1">
      <c r="B50" s="21"/>
      <c r="C50" s="21"/>
      <c r="D50" s="21"/>
    </row>
    <row r="51" ht="15.75" customHeight="1">
      <c r="B51" s="21"/>
      <c r="C51" s="21"/>
      <c r="D51" s="21"/>
    </row>
    <row r="52" ht="15.75" customHeight="1">
      <c r="B52" s="21"/>
      <c r="C52" s="21"/>
      <c r="D52" s="21"/>
    </row>
    <row r="53" ht="15.75" customHeight="1">
      <c r="B53" s="21"/>
      <c r="C53" s="21"/>
      <c r="D53" s="21"/>
    </row>
    <row r="54" ht="15.75" customHeight="1">
      <c r="B54" s="21"/>
      <c r="C54" s="21"/>
      <c r="D54" s="21"/>
    </row>
    <row r="55" ht="15.75" customHeight="1">
      <c r="B55" s="21"/>
      <c r="C55" s="21"/>
      <c r="D55" s="21"/>
    </row>
    <row r="56" ht="15.75" customHeight="1">
      <c r="B56" s="21"/>
      <c r="C56" s="21"/>
      <c r="D56" s="21"/>
    </row>
    <row r="57" ht="15.75" customHeight="1">
      <c r="B57" s="21"/>
      <c r="C57" s="21"/>
      <c r="D57" s="21"/>
    </row>
    <row r="58" ht="15.75" customHeight="1">
      <c r="B58" s="21"/>
      <c r="C58" s="21"/>
      <c r="D58" s="21"/>
    </row>
    <row r="59" ht="15.75" customHeight="1">
      <c r="B59" s="21"/>
      <c r="C59" s="21"/>
      <c r="D59" s="21"/>
    </row>
    <row r="60" ht="15.75" customHeight="1">
      <c r="B60" s="21"/>
      <c r="C60" s="21"/>
      <c r="D60" s="21"/>
    </row>
    <row r="61" ht="15.75" customHeight="1">
      <c r="B61" s="21"/>
      <c r="C61" s="21"/>
      <c r="D61" s="21"/>
    </row>
    <row r="62" ht="15.75" customHeight="1">
      <c r="B62" s="21"/>
      <c r="C62" s="21"/>
      <c r="D62" s="21"/>
    </row>
    <row r="63" ht="15.75" customHeight="1">
      <c r="B63" s="21"/>
      <c r="C63" s="21"/>
      <c r="D63" s="21"/>
    </row>
    <row r="64" ht="15.75" customHeight="1">
      <c r="B64" s="21"/>
      <c r="C64" s="21"/>
      <c r="D64" s="21"/>
    </row>
    <row r="65" ht="15.75" customHeight="1">
      <c r="B65" s="21"/>
      <c r="C65" s="21"/>
      <c r="D65" s="21"/>
    </row>
    <row r="66" ht="15.75" customHeight="1">
      <c r="B66" s="21"/>
      <c r="C66" s="21"/>
      <c r="D66" s="21"/>
    </row>
    <row r="67" ht="15.75" customHeight="1">
      <c r="B67" s="21"/>
      <c r="C67" s="21"/>
      <c r="D67" s="21"/>
    </row>
    <row r="68" ht="15.75" customHeight="1">
      <c r="B68" s="21"/>
      <c r="C68" s="21"/>
      <c r="D68" s="21"/>
    </row>
    <row r="69" ht="15.75" customHeight="1">
      <c r="B69" s="21"/>
      <c r="C69" s="21"/>
      <c r="D69" s="21"/>
    </row>
    <row r="70" ht="15.75" customHeight="1">
      <c r="B70" s="21"/>
      <c r="C70" s="21"/>
      <c r="D70" s="21"/>
    </row>
    <row r="71" ht="15.75" customHeight="1">
      <c r="B71" s="21"/>
      <c r="C71" s="21"/>
      <c r="D71" s="21"/>
    </row>
    <row r="72" ht="15.75" customHeight="1">
      <c r="B72" s="21"/>
      <c r="C72" s="21"/>
      <c r="D72" s="21"/>
    </row>
    <row r="73" ht="15.75" customHeight="1">
      <c r="B73" s="21"/>
      <c r="C73" s="21"/>
      <c r="D73" s="21"/>
    </row>
    <row r="74" ht="15.75" customHeight="1">
      <c r="B74" s="21"/>
      <c r="C74" s="21"/>
      <c r="D74" s="21"/>
    </row>
    <row r="75" ht="15.75" customHeight="1">
      <c r="B75" s="21"/>
      <c r="C75" s="21"/>
      <c r="D75" s="21"/>
    </row>
    <row r="76" ht="15.75" customHeight="1">
      <c r="B76" s="21"/>
      <c r="C76" s="21"/>
      <c r="D76" s="21"/>
    </row>
    <row r="77" ht="15.75" customHeight="1">
      <c r="B77" s="21"/>
      <c r="C77" s="21"/>
      <c r="D77" s="21"/>
    </row>
    <row r="78" ht="15.75" customHeight="1">
      <c r="B78" s="21"/>
      <c r="C78" s="21"/>
      <c r="D78" s="21"/>
    </row>
    <row r="79" ht="15.75" customHeight="1">
      <c r="B79" s="21"/>
      <c r="C79" s="21"/>
      <c r="D79" s="21"/>
    </row>
    <row r="80" ht="15.75" customHeight="1">
      <c r="B80" s="21"/>
      <c r="C80" s="21"/>
      <c r="D80" s="21"/>
    </row>
    <row r="81" ht="15.75" customHeight="1">
      <c r="B81" s="21"/>
      <c r="C81" s="21"/>
      <c r="D81" s="21"/>
    </row>
    <row r="82" ht="15.75" customHeight="1">
      <c r="B82" s="21"/>
      <c r="C82" s="21"/>
      <c r="D82" s="21"/>
    </row>
    <row r="83" ht="15.75" customHeight="1">
      <c r="B83" s="21"/>
      <c r="C83" s="21"/>
      <c r="D83" s="21"/>
    </row>
    <row r="84" ht="15.75" customHeight="1">
      <c r="B84" s="21"/>
      <c r="C84" s="21"/>
      <c r="D84" s="21"/>
    </row>
    <row r="85" ht="15.75" customHeight="1">
      <c r="B85" s="21"/>
      <c r="C85" s="21"/>
      <c r="D85" s="21"/>
    </row>
    <row r="86" ht="15.75" customHeight="1">
      <c r="B86" s="21"/>
      <c r="C86" s="21"/>
      <c r="D86" s="21"/>
    </row>
    <row r="87" ht="15.75" customHeight="1">
      <c r="B87" s="21"/>
      <c r="C87" s="21"/>
      <c r="D87" s="21"/>
    </row>
    <row r="88" ht="15.75" customHeight="1">
      <c r="B88" s="21"/>
      <c r="C88" s="21"/>
      <c r="D88" s="21"/>
    </row>
    <row r="89" ht="15.75" customHeight="1">
      <c r="B89" s="21"/>
      <c r="C89" s="21"/>
      <c r="D89" s="21"/>
    </row>
    <row r="90" ht="15.75" customHeight="1">
      <c r="B90" s="21"/>
      <c r="C90" s="21"/>
      <c r="D90" s="21"/>
    </row>
    <row r="91" ht="15.75" customHeight="1">
      <c r="B91" s="21"/>
      <c r="C91" s="21"/>
      <c r="D91" s="21"/>
    </row>
    <row r="92" ht="15.75" customHeight="1">
      <c r="B92" s="21"/>
      <c r="C92" s="21"/>
      <c r="D92" s="21"/>
    </row>
    <row r="93" ht="15.75" customHeight="1">
      <c r="B93" s="21"/>
      <c r="C93" s="21"/>
      <c r="D93" s="21"/>
    </row>
    <row r="94" ht="15.75" customHeight="1">
      <c r="B94" s="21"/>
      <c r="C94" s="21"/>
      <c r="D94" s="21"/>
    </row>
    <row r="95" ht="15.75" customHeight="1">
      <c r="B95" s="21"/>
      <c r="C95" s="21"/>
      <c r="D95" s="21"/>
    </row>
    <row r="96" ht="15.75" customHeight="1">
      <c r="B96" s="21"/>
      <c r="C96" s="21"/>
      <c r="D96" s="21"/>
    </row>
    <row r="97" ht="15.75" customHeight="1">
      <c r="B97" s="21"/>
      <c r="C97" s="21"/>
      <c r="D97" s="21"/>
    </row>
    <row r="98" ht="15.75" customHeight="1">
      <c r="B98" s="21"/>
      <c r="C98" s="21"/>
      <c r="D98" s="21"/>
    </row>
    <row r="99" ht="15.75" customHeight="1">
      <c r="B99" s="21"/>
      <c r="C99" s="21"/>
      <c r="D99" s="21"/>
    </row>
    <row r="100" ht="15.75" customHeight="1">
      <c r="B100" s="21"/>
      <c r="C100" s="21"/>
      <c r="D100" s="21"/>
    </row>
    <row r="101" ht="15.75" customHeight="1">
      <c r="B101" s="21"/>
      <c r="C101" s="21"/>
      <c r="D101" s="21"/>
    </row>
    <row r="102" ht="15.75" customHeight="1">
      <c r="B102" s="21"/>
      <c r="C102" s="21"/>
      <c r="D102" s="21"/>
    </row>
    <row r="103" ht="15.75" customHeight="1">
      <c r="B103" s="21"/>
      <c r="C103" s="21"/>
      <c r="D103" s="21"/>
    </row>
    <row r="104" ht="15.75" customHeight="1">
      <c r="B104" s="21"/>
      <c r="C104" s="21"/>
      <c r="D104" s="21"/>
    </row>
    <row r="105" ht="15.75" customHeight="1">
      <c r="B105" s="21"/>
      <c r="C105" s="21"/>
      <c r="D105" s="21"/>
    </row>
    <row r="106" ht="15.75" customHeight="1">
      <c r="B106" s="21"/>
      <c r="C106" s="21"/>
      <c r="D106" s="21"/>
    </row>
    <row r="107" ht="15.75" customHeight="1">
      <c r="B107" s="21"/>
      <c r="C107" s="21"/>
      <c r="D107" s="21"/>
    </row>
    <row r="108" ht="15.75" customHeight="1">
      <c r="B108" s="21"/>
      <c r="C108" s="21"/>
      <c r="D108" s="21"/>
    </row>
    <row r="109" ht="15.75" customHeight="1">
      <c r="B109" s="21"/>
      <c r="C109" s="21"/>
      <c r="D109" s="21"/>
    </row>
    <row r="110" ht="15.75" customHeight="1">
      <c r="B110" s="21"/>
      <c r="C110" s="21"/>
      <c r="D110" s="21"/>
    </row>
    <row r="111" ht="15.75" customHeight="1">
      <c r="B111" s="21"/>
      <c r="C111" s="21"/>
      <c r="D111" s="21"/>
    </row>
    <row r="112" ht="15.75" customHeight="1">
      <c r="B112" s="21"/>
      <c r="C112" s="21"/>
      <c r="D112" s="21"/>
    </row>
    <row r="113" ht="15.75" customHeight="1">
      <c r="B113" s="21"/>
      <c r="C113" s="21"/>
      <c r="D113" s="21"/>
    </row>
    <row r="114" ht="15.75" customHeight="1">
      <c r="B114" s="21"/>
      <c r="C114" s="21"/>
      <c r="D114" s="21"/>
    </row>
    <row r="115" ht="15.75" customHeight="1">
      <c r="B115" s="21"/>
      <c r="C115" s="21"/>
      <c r="D115" s="21"/>
    </row>
    <row r="116" ht="15.75" customHeight="1">
      <c r="B116" s="21"/>
      <c r="C116" s="21"/>
      <c r="D116" s="21"/>
    </row>
    <row r="117" ht="15.75" customHeight="1">
      <c r="B117" s="21"/>
      <c r="C117" s="21"/>
      <c r="D117" s="21"/>
    </row>
    <row r="118" ht="15.75" customHeight="1">
      <c r="B118" s="21"/>
      <c r="C118" s="21"/>
      <c r="D118" s="21"/>
    </row>
    <row r="119" ht="15.75" customHeight="1">
      <c r="B119" s="21"/>
      <c r="C119" s="21"/>
      <c r="D119" s="21"/>
    </row>
    <row r="120" ht="15.75" customHeight="1">
      <c r="B120" s="21"/>
      <c r="C120" s="21"/>
      <c r="D120" s="21"/>
    </row>
    <row r="121" ht="15.75" customHeight="1">
      <c r="B121" s="21"/>
      <c r="C121" s="21"/>
      <c r="D121" s="21"/>
    </row>
    <row r="122" ht="15.75" customHeight="1">
      <c r="B122" s="21"/>
      <c r="C122" s="21"/>
      <c r="D122" s="21"/>
    </row>
    <row r="123" ht="15.75" customHeight="1">
      <c r="B123" s="21"/>
      <c r="C123" s="21"/>
      <c r="D123" s="21"/>
    </row>
    <row r="124" ht="15.75" customHeight="1">
      <c r="B124" s="21"/>
      <c r="C124" s="21"/>
      <c r="D124" s="21"/>
    </row>
    <row r="125" ht="15.75" customHeight="1">
      <c r="B125" s="21"/>
      <c r="C125" s="21"/>
      <c r="D125" s="21"/>
    </row>
    <row r="126" ht="15.75" customHeight="1">
      <c r="B126" s="21"/>
      <c r="C126" s="21"/>
      <c r="D126" s="21"/>
    </row>
    <row r="127" ht="15.75" customHeight="1">
      <c r="B127" s="21"/>
      <c r="C127" s="21"/>
      <c r="D127" s="21"/>
    </row>
    <row r="128" ht="15.75" customHeight="1">
      <c r="B128" s="21"/>
      <c r="C128" s="21"/>
      <c r="D128" s="21"/>
    </row>
    <row r="129" ht="15.75" customHeight="1">
      <c r="B129" s="21"/>
      <c r="C129" s="21"/>
      <c r="D129" s="21"/>
    </row>
    <row r="130" ht="15.75" customHeight="1">
      <c r="B130" s="21"/>
      <c r="C130" s="21"/>
      <c r="D130" s="21"/>
    </row>
    <row r="131" ht="15.75" customHeight="1">
      <c r="B131" s="21"/>
      <c r="C131" s="21"/>
      <c r="D131" s="21"/>
    </row>
    <row r="132" ht="15.75" customHeight="1">
      <c r="B132" s="21"/>
      <c r="C132" s="21"/>
      <c r="D132" s="21"/>
    </row>
    <row r="133" ht="15.75" customHeight="1">
      <c r="B133" s="21"/>
      <c r="C133" s="21"/>
      <c r="D133" s="21"/>
    </row>
    <row r="134" ht="15.75" customHeight="1">
      <c r="B134" s="21"/>
      <c r="C134" s="21"/>
      <c r="D134" s="21"/>
    </row>
    <row r="135" ht="15.75" customHeight="1">
      <c r="B135" s="21"/>
      <c r="C135" s="21"/>
      <c r="D135" s="21"/>
    </row>
    <row r="136" ht="15.75" customHeight="1">
      <c r="B136" s="21"/>
      <c r="C136" s="21"/>
      <c r="D136" s="21"/>
    </row>
    <row r="137" ht="15.75" customHeight="1">
      <c r="B137" s="21"/>
      <c r="C137" s="21"/>
      <c r="D137" s="21"/>
    </row>
    <row r="138" ht="15.75" customHeight="1">
      <c r="B138" s="21"/>
      <c r="C138" s="21"/>
      <c r="D138" s="21"/>
    </row>
    <row r="139" ht="15.75" customHeight="1">
      <c r="B139" s="21"/>
      <c r="C139" s="21"/>
      <c r="D139" s="21"/>
    </row>
    <row r="140" ht="15.75" customHeight="1">
      <c r="B140" s="21"/>
      <c r="C140" s="21"/>
      <c r="D140" s="21"/>
    </row>
    <row r="141" ht="15.75" customHeight="1">
      <c r="B141" s="21"/>
      <c r="C141" s="21"/>
      <c r="D141" s="21"/>
    </row>
    <row r="142" ht="15.75" customHeight="1">
      <c r="B142" s="21"/>
      <c r="C142" s="21"/>
      <c r="D142" s="21"/>
    </row>
    <row r="143" ht="15.75" customHeight="1">
      <c r="B143" s="21"/>
      <c r="C143" s="21"/>
      <c r="D143" s="21"/>
    </row>
    <row r="144" ht="15.75" customHeight="1">
      <c r="B144" s="21"/>
      <c r="C144" s="21"/>
      <c r="D144" s="21"/>
    </row>
    <row r="145" ht="15.75" customHeight="1">
      <c r="B145" s="21"/>
      <c r="C145" s="21"/>
      <c r="D145" s="21"/>
    </row>
    <row r="146" ht="15.75" customHeight="1">
      <c r="B146" s="21"/>
      <c r="C146" s="21"/>
      <c r="D146" s="21"/>
    </row>
    <row r="147" ht="15.75" customHeight="1">
      <c r="B147" s="21"/>
      <c r="C147" s="21"/>
      <c r="D147" s="21"/>
    </row>
    <row r="148" ht="15.75" customHeight="1">
      <c r="B148" s="21"/>
      <c r="C148" s="21"/>
      <c r="D148" s="21"/>
    </row>
    <row r="149" ht="15.75" customHeight="1">
      <c r="B149" s="21"/>
      <c r="C149" s="21"/>
      <c r="D149" s="21"/>
    </row>
    <row r="150" ht="15.75" customHeight="1">
      <c r="B150" s="21"/>
      <c r="C150" s="21"/>
      <c r="D150" s="21"/>
    </row>
    <row r="151" ht="15.75" customHeight="1">
      <c r="B151" s="21"/>
      <c r="C151" s="21"/>
      <c r="D151" s="21"/>
    </row>
    <row r="152" ht="15.75" customHeight="1">
      <c r="B152" s="21"/>
      <c r="C152" s="21"/>
      <c r="D152" s="21"/>
    </row>
    <row r="153" ht="15.75" customHeight="1">
      <c r="B153" s="21"/>
      <c r="C153" s="21"/>
      <c r="D153" s="21"/>
    </row>
    <row r="154" ht="15.75" customHeight="1">
      <c r="B154" s="21"/>
      <c r="C154" s="21"/>
      <c r="D154" s="21"/>
    </row>
    <row r="155" ht="15.75" customHeight="1">
      <c r="B155" s="21"/>
      <c r="C155" s="21"/>
      <c r="D155" s="21"/>
    </row>
    <row r="156" ht="15.75" customHeight="1">
      <c r="B156" s="21"/>
      <c r="C156" s="21"/>
      <c r="D156" s="21"/>
    </row>
    <row r="157" ht="15.75" customHeight="1">
      <c r="B157" s="21"/>
      <c r="C157" s="21"/>
      <c r="D157" s="21"/>
    </row>
    <row r="158" ht="15.75" customHeight="1">
      <c r="B158" s="21"/>
      <c r="C158" s="21"/>
      <c r="D158" s="21"/>
    </row>
    <row r="159" ht="15.75" customHeight="1">
      <c r="B159" s="21"/>
      <c r="C159" s="21"/>
      <c r="D159" s="21"/>
    </row>
    <row r="160" ht="15.75" customHeight="1">
      <c r="B160" s="21"/>
      <c r="C160" s="21"/>
      <c r="D160" s="21"/>
    </row>
    <row r="161" ht="15.75" customHeight="1">
      <c r="B161" s="21"/>
      <c r="C161" s="21"/>
      <c r="D161" s="21"/>
    </row>
    <row r="162" ht="15.75" customHeight="1">
      <c r="B162" s="21"/>
      <c r="C162" s="21"/>
      <c r="D162" s="21"/>
    </row>
    <row r="163" ht="15.75" customHeight="1">
      <c r="B163" s="21"/>
      <c r="C163" s="21"/>
      <c r="D163" s="21"/>
    </row>
    <row r="164" ht="15.75" customHeight="1">
      <c r="B164" s="21"/>
      <c r="C164" s="21"/>
      <c r="D164" s="21"/>
    </row>
    <row r="165" ht="15.75" customHeight="1">
      <c r="B165" s="21"/>
      <c r="C165" s="21"/>
      <c r="D165" s="21"/>
    </row>
    <row r="166" ht="15.75" customHeight="1">
      <c r="B166" s="21"/>
      <c r="C166" s="21"/>
      <c r="D166" s="21"/>
    </row>
    <row r="167" ht="15.75" customHeight="1">
      <c r="B167" s="21"/>
      <c r="C167" s="21"/>
      <c r="D167" s="21"/>
    </row>
    <row r="168" ht="15.75" customHeight="1">
      <c r="B168" s="21"/>
      <c r="C168" s="21"/>
      <c r="D168" s="21"/>
    </row>
    <row r="169" ht="15.75" customHeight="1">
      <c r="B169" s="21"/>
      <c r="C169" s="21"/>
      <c r="D169" s="21"/>
    </row>
    <row r="170" ht="15.75" customHeight="1">
      <c r="B170" s="21"/>
      <c r="C170" s="21"/>
      <c r="D170" s="21"/>
    </row>
    <row r="171" ht="15.75" customHeight="1">
      <c r="B171" s="21"/>
      <c r="C171" s="21"/>
      <c r="D171" s="21"/>
    </row>
    <row r="172" ht="15.75" customHeight="1">
      <c r="B172" s="21"/>
      <c r="C172" s="21"/>
      <c r="D172" s="21"/>
    </row>
    <row r="173" ht="15.75" customHeight="1">
      <c r="B173" s="21"/>
      <c r="C173" s="21"/>
      <c r="D173" s="21"/>
    </row>
    <row r="174" ht="15.75" customHeight="1">
      <c r="B174" s="21"/>
      <c r="C174" s="21"/>
      <c r="D174" s="21"/>
    </row>
    <row r="175" ht="15.75" customHeight="1">
      <c r="B175" s="21"/>
      <c r="C175" s="21"/>
      <c r="D175" s="21"/>
    </row>
    <row r="176" ht="15.75" customHeight="1">
      <c r="B176" s="21"/>
      <c r="C176" s="21"/>
      <c r="D176" s="21"/>
    </row>
    <row r="177" ht="15.75" customHeight="1">
      <c r="B177" s="21"/>
      <c r="C177" s="21"/>
      <c r="D177" s="21"/>
    </row>
    <row r="178" ht="15.75" customHeight="1">
      <c r="B178" s="21"/>
      <c r="C178" s="21"/>
      <c r="D178" s="21"/>
    </row>
    <row r="179" ht="15.75" customHeight="1">
      <c r="B179" s="21"/>
      <c r="C179" s="21"/>
      <c r="D179" s="21"/>
    </row>
    <row r="180" ht="15.75" customHeight="1">
      <c r="B180" s="21"/>
      <c r="C180" s="21"/>
      <c r="D180" s="21"/>
    </row>
    <row r="181" ht="15.75" customHeight="1">
      <c r="B181" s="21"/>
      <c r="C181" s="21"/>
      <c r="D181" s="21"/>
    </row>
    <row r="182" ht="15.75" customHeight="1">
      <c r="B182" s="21"/>
      <c r="C182" s="21"/>
      <c r="D182" s="21"/>
    </row>
    <row r="183" ht="15.75" customHeight="1">
      <c r="B183" s="21"/>
      <c r="C183" s="21"/>
      <c r="D183" s="21"/>
    </row>
    <row r="184" ht="15.75" customHeight="1">
      <c r="B184" s="21"/>
      <c r="C184" s="21"/>
      <c r="D184" s="21"/>
    </row>
    <row r="185" ht="15.75" customHeight="1">
      <c r="B185" s="21"/>
      <c r="C185" s="21"/>
      <c r="D185" s="21"/>
    </row>
    <row r="186" ht="15.75" customHeight="1">
      <c r="B186" s="21"/>
      <c r="C186" s="21"/>
      <c r="D186" s="21"/>
    </row>
    <row r="187" ht="15.75" customHeight="1">
      <c r="B187" s="21"/>
      <c r="C187" s="21"/>
      <c r="D187" s="21"/>
    </row>
    <row r="188" ht="15.75" customHeight="1">
      <c r="B188" s="21"/>
      <c r="C188" s="21"/>
      <c r="D188" s="21"/>
    </row>
    <row r="189" ht="15.75" customHeight="1">
      <c r="B189" s="21"/>
      <c r="C189" s="21"/>
      <c r="D189" s="21"/>
    </row>
    <row r="190" ht="15.75" customHeight="1">
      <c r="B190" s="21"/>
      <c r="C190" s="21"/>
      <c r="D190" s="21"/>
    </row>
    <row r="191" ht="15.75" customHeight="1">
      <c r="B191" s="21"/>
      <c r="C191" s="21"/>
      <c r="D191" s="21"/>
    </row>
    <row r="192" ht="15.75" customHeight="1">
      <c r="B192" s="21"/>
      <c r="C192" s="21"/>
      <c r="D192" s="21"/>
    </row>
    <row r="193" ht="15.75" customHeight="1">
      <c r="B193" s="21"/>
      <c r="C193" s="21"/>
      <c r="D193" s="21"/>
    </row>
    <row r="194" ht="15.75" customHeight="1">
      <c r="B194" s="21"/>
      <c r="C194" s="21"/>
      <c r="D194" s="21"/>
    </row>
    <row r="195" ht="15.75" customHeight="1">
      <c r="B195" s="21"/>
      <c r="C195" s="21"/>
      <c r="D195" s="21"/>
    </row>
    <row r="196" ht="15.75" customHeight="1">
      <c r="B196" s="21"/>
      <c r="C196" s="21"/>
      <c r="D196" s="21"/>
    </row>
    <row r="197" ht="15.75" customHeight="1">
      <c r="B197" s="21"/>
      <c r="C197" s="21"/>
      <c r="D197" s="21"/>
    </row>
    <row r="198" ht="15.75" customHeight="1">
      <c r="B198" s="21"/>
      <c r="C198" s="21"/>
      <c r="D198" s="21"/>
    </row>
    <row r="199" ht="15.75" customHeight="1">
      <c r="B199" s="21"/>
      <c r="C199" s="21"/>
      <c r="D199" s="21"/>
    </row>
    <row r="200" ht="15.75" customHeight="1">
      <c r="B200" s="21"/>
      <c r="C200" s="21"/>
      <c r="D200" s="21"/>
    </row>
    <row r="201" ht="15.75" customHeight="1">
      <c r="B201" s="21"/>
      <c r="C201" s="21"/>
      <c r="D201" s="21"/>
    </row>
    <row r="202" ht="15.75" customHeight="1">
      <c r="B202" s="21"/>
      <c r="C202" s="21"/>
      <c r="D202" s="21"/>
    </row>
    <row r="203" ht="15.75" customHeight="1">
      <c r="B203" s="21"/>
      <c r="C203" s="21"/>
      <c r="D203" s="21"/>
    </row>
    <row r="204" ht="15.75" customHeight="1">
      <c r="B204" s="21"/>
      <c r="C204" s="21"/>
      <c r="D204" s="21"/>
    </row>
    <row r="205" ht="15.75" customHeight="1">
      <c r="B205" s="21"/>
      <c r="C205" s="21"/>
      <c r="D205" s="21"/>
    </row>
    <row r="206" ht="15.75" customHeight="1">
      <c r="B206" s="21"/>
      <c r="C206" s="21"/>
      <c r="D206" s="21"/>
    </row>
    <row r="207" ht="15.75" customHeight="1">
      <c r="B207" s="21"/>
      <c r="C207" s="21"/>
      <c r="D207" s="21"/>
    </row>
    <row r="208" ht="15.75" customHeight="1">
      <c r="B208" s="21"/>
      <c r="C208" s="21"/>
      <c r="D208" s="21"/>
    </row>
    <row r="209" ht="15.75" customHeight="1">
      <c r="B209" s="21"/>
      <c r="C209" s="21"/>
      <c r="D209" s="21"/>
    </row>
    <row r="210" ht="15.75" customHeight="1">
      <c r="B210" s="21"/>
      <c r="C210" s="21"/>
      <c r="D210" s="21"/>
    </row>
    <row r="211" ht="15.75" customHeight="1">
      <c r="B211" s="21"/>
      <c r="C211" s="21"/>
      <c r="D211" s="21"/>
    </row>
    <row r="212" ht="15.75" customHeight="1">
      <c r="B212" s="21"/>
      <c r="C212" s="21"/>
      <c r="D212" s="21"/>
    </row>
    <row r="213" ht="15.75" customHeight="1">
      <c r="B213" s="21"/>
      <c r="C213" s="21"/>
      <c r="D213" s="21"/>
    </row>
    <row r="214" ht="15.75" customHeight="1">
      <c r="B214" s="21"/>
      <c r="C214" s="21"/>
      <c r="D214" s="21"/>
    </row>
    <row r="215" ht="15.75" customHeight="1">
      <c r="B215" s="21"/>
      <c r="C215" s="21"/>
      <c r="D215" s="21"/>
    </row>
    <row r="216" ht="15.75" customHeight="1">
      <c r="B216" s="21"/>
      <c r="C216" s="21"/>
      <c r="D216" s="21"/>
    </row>
    <row r="217" ht="15.75" customHeight="1">
      <c r="B217" s="21"/>
      <c r="C217" s="21"/>
      <c r="D217" s="21"/>
    </row>
    <row r="218" ht="15.75" customHeight="1">
      <c r="B218" s="21"/>
      <c r="C218" s="21"/>
      <c r="D218" s="21"/>
    </row>
    <row r="219" ht="15.75" customHeight="1">
      <c r="B219" s="21"/>
      <c r="C219" s="21"/>
      <c r="D219" s="21"/>
    </row>
    <row r="220" ht="15.75" customHeight="1">
      <c r="B220" s="21"/>
      <c r="C220" s="21"/>
      <c r="D220" s="21"/>
    </row>
    <row r="221" ht="15.75" customHeight="1">
      <c r="B221" s="21"/>
      <c r="C221" s="21"/>
      <c r="D221" s="21"/>
    </row>
    <row r="222" ht="15.75" customHeight="1">
      <c r="B222" s="21"/>
      <c r="C222" s="21"/>
      <c r="D222" s="21"/>
    </row>
    <row r="223" ht="15.75" customHeight="1">
      <c r="B223" s="21"/>
      <c r="C223" s="21"/>
      <c r="D223" s="21"/>
    </row>
    <row r="224" ht="15.75" customHeight="1">
      <c r="B224" s="21"/>
      <c r="C224" s="21"/>
      <c r="D224" s="21"/>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E2:AA16">
    <cfRule type="cellIs" dxfId="0" priority="1" operator="equal">
      <formula>"TRUE"</formula>
    </cfRule>
  </conditionalFormatting>
  <drawing r:id="rId2"/>
  <legacyDrawing r:id="rId3"/>
  <tableParts count="1">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2.63" defaultRowHeight="15.0"/>
  <cols>
    <col customWidth="1" min="1" max="1" width="12.63"/>
    <col customWidth="1" min="2" max="4" width="7.0"/>
    <col customWidth="1" min="5" max="6" width="12.63"/>
  </cols>
  <sheetData>
    <row r="1" ht="15.75" customHeight="1">
      <c r="B1" s="21" t="s">
        <v>29</v>
      </c>
      <c r="C1" s="21" t="s">
        <v>30</v>
      </c>
      <c r="D1" s="21" t="s">
        <v>31</v>
      </c>
      <c r="E1" s="21" t="s">
        <v>85</v>
      </c>
      <c r="F1" s="21" t="s">
        <v>86</v>
      </c>
      <c r="G1" s="21" t="s">
        <v>87</v>
      </c>
      <c r="H1" s="21" t="s">
        <v>88</v>
      </c>
      <c r="I1" s="21" t="s">
        <v>89</v>
      </c>
      <c r="J1" s="21" t="s">
        <v>90</v>
      </c>
      <c r="K1" s="21" t="s">
        <v>91</v>
      </c>
      <c r="L1" s="21" t="s">
        <v>92</v>
      </c>
      <c r="M1" s="21" t="s">
        <v>93</v>
      </c>
      <c r="N1" s="21" t="s">
        <v>94</v>
      </c>
      <c r="O1" s="21" t="s">
        <v>95</v>
      </c>
      <c r="P1" s="21" t="s">
        <v>96</v>
      </c>
      <c r="Q1" s="21" t="s">
        <v>97</v>
      </c>
      <c r="R1" s="21" t="s">
        <v>98</v>
      </c>
      <c r="S1" s="21" t="s">
        <v>99</v>
      </c>
      <c r="T1" s="21" t="s">
        <v>100</v>
      </c>
      <c r="U1" s="21" t="s">
        <v>101</v>
      </c>
      <c r="V1" s="21" t="s">
        <v>102</v>
      </c>
      <c r="W1" s="21" t="s">
        <v>102</v>
      </c>
      <c r="X1" s="21" t="s">
        <v>102</v>
      </c>
      <c r="Y1" s="21"/>
      <c r="Z1" s="21"/>
      <c r="AA1" s="21"/>
    </row>
    <row r="2" ht="15.75" customHeight="1">
      <c r="A2" s="26" t="s">
        <v>49</v>
      </c>
      <c r="B2" s="29">
        <f t="shared" ref="B2:B16" si="1">COUNTIF(E2:M2, TRUE) / COUNTA(E2:M2)</f>
        <v>0.2222222222</v>
      </c>
      <c r="C2" s="29">
        <f t="shared" ref="C2:C16" si="2">COUNTIF(E2:X2, TRUE) / COUNTA(E2:X2)</f>
        <v>0.1</v>
      </c>
      <c r="D2" s="21"/>
      <c r="E2" s="21" t="b">
        <v>1</v>
      </c>
      <c r="F2" s="21" t="b">
        <v>0</v>
      </c>
      <c r="G2" s="21" t="b">
        <v>0</v>
      </c>
      <c r="H2" s="21" t="b">
        <v>0</v>
      </c>
      <c r="I2" s="21" t="b">
        <v>0</v>
      </c>
      <c r="J2" s="21" t="b">
        <v>0</v>
      </c>
      <c r="K2" s="21" t="b">
        <v>0</v>
      </c>
      <c r="L2" s="21" t="b">
        <v>0</v>
      </c>
      <c r="M2" s="21" t="b">
        <v>1</v>
      </c>
      <c r="N2" s="21" t="b">
        <v>0</v>
      </c>
      <c r="O2" s="21" t="b">
        <v>0</v>
      </c>
      <c r="P2" s="21" t="b">
        <v>0</v>
      </c>
      <c r="Q2" s="21" t="b">
        <v>0</v>
      </c>
      <c r="R2" s="21" t="b">
        <v>0</v>
      </c>
      <c r="S2" s="21" t="b">
        <v>0</v>
      </c>
      <c r="T2" s="21" t="b">
        <v>0</v>
      </c>
      <c r="U2" s="21" t="b">
        <v>0</v>
      </c>
      <c r="V2" s="21" t="b">
        <v>0</v>
      </c>
      <c r="W2" s="21" t="b">
        <v>0</v>
      </c>
      <c r="X2" s="21" t="b">
        <v>0</v>
      </c>
      <c r="Y2" s="21"/>
      <c r="Z2" s="21"/>
      <c r="AA2" s="21"/>
    </row>
    <row r="3" ht="15.75" customHeight="1">
      <c r="A3" s="26" t="s">
        <v>50</v>
      </c>
      <c r="B3" s="29">
        <f t="shared" si="1"/>
        <v>0.1111111111</v>
      </c>
      <c r="C3" s="29">
        <f t="shared" si="2"/>
        <v>0.05</v>
      </c>
      <c r="D3" s="21"/>
      <c r="E3" s="21" t="b">
        <v>0</v>
      </c>
      <c r="F3" s="21" t="b">
        <v>0</v>
      </c>
      <c r="G3" s="21" t="b">
        <v>0</v>
      </c>
      <c r="H3" s="21" t="b">
        <v>0</v>
      </c>
      <c r="I3" s="21" t="b">
        <v>0</v>
      </c>
      <c r="J3" s="21" t="b">
        <v>0</v>
      </c>
      <c r="K3" s="21" t="b">
        <v>0</v>
      </c>
      <c r="L3" s="21" t="b">
        <v>0</v>
      </c>
      <c r="M3" s="21" t="b">
        <v>1</v>
      </c>
      <c r="N3" s="21" t="b">
        <v>0</v>
      </c>
      <c r="O3" s="21" t="b">
        <v>0</v>
      </c>
      <c r="P3" s="21" t="b">
        <v>0</v>
      </c>
      <c r="Q3" s="21" t="b">
        <v>0</v>
      </c>
      <c r="R3" s="21" t="b">
        <v>0</v>
      </c>
      <c r="S3" s="21" t="b">
        <v>0</v>
      </c>
      <c r="T3" s="21" t="b">
        <v>0</v>
      </c>
      <c r="U3" s="21" t="b">
        <v>0</v>
      </c>
      <c r="V3" s="21" t="b">
        <v>0</v>
      </c>
      <c r="W3" s="21" t="b">
        <v>0</v>
      </c>
      <c r="X3" s="21" t="b">
        <v>0</v>
      </c>
      <c r="Y3" s="21"/>
      <c r="Z3" s="21"/>
      <c r="AA3" s="21"/>
    </row>
    <row r="4" ht="15.75" customHeight="1">
      <c r="A4" s="26" t="s">
        <v>51</v>
      </c>
      <c r="B4" s="29">
        <f t="shared" si="1"/>
        <v>0.3333333333</v>
      </c>
      <c r="C4" s="29">
        <f t="shared" si="2"/>
        <v>0.2</v>
      </c>
      <c r="D4" s="29"/>
      <c r="E4" s="21" t="b">
        <v>1</v>
      </c>
      <c r="F4" s="21" t="b">
        <v>0</v>
      </c>
      <c r="G4" s="21" t="b">
        <v>0</v>
      </c>
      <c r="H4" s="21" t="b">
        <v>0</v>
      </c>
      <c r="I4" s="21" t="b">
        <v>0</v>
      </c>
      <c r="J4" s="21" t="b">
        <v>0</v>
      </c>
      <c r="K4" s="21" t="b">
        <v>0</v>
      </c>
      <c r="L4" s="21" t="b">
        <v>1</v>
      </c>
      <c r="M4" s="21" t="b">
        <v>1</v>
      </c>
      <c r="N4" s="21" t="b">
        <v>0</v>
      </c>
      <c r="O4" s="21" t="b">
        <v>0</v>
      </c>
      <c r="P4" s="21" t="b">
        <v>0</v>
      </c>
      <c r="Q4" s="21" t="b">
        <v>0</v>
      </c>
      <c r="R4" s="21" t="b">
        <v>0</v>
      </c>
      <c r="S4" s="21" t="b">
        <v>0</v>
      </c>
      <c r="T4" s="21" t="b">
        <v>0</v>
      </c>
      <c r="U4" s="21" t="b">
        <v>0</v>
      </c>
      <c r="V4" s="21" t="b">
        <v>1</v>
      </c>
      <c r="W4" s="21" t="b">
        <v>0</v>
      </c>
      <c r="X4" s="21" t="b">
        <v>0</v>
      </c>
      <c r="Y4" s="21"/>
      <c r="Z4" s="21"/>
      <c r="AA4" s="21"/>
    </row>
    <row r="5" ht="15.75" customHeight="1">
      <c r="A5" s="26" t="s">
        <v>52</v>
      </c>
      <c r="B5" s="29">
        <f t="shared" si="1"/>
        <v>0.2222222222</v>
      </c>
      <c r="C5" s="29">
        <f t="shared" si="2"/>
        <v>0.1</v>
      </c>
      <c r="D5" s="21"/>
      <c r="E5" s="21" t="b">
        <v>0</v>
      </c>
      <c r="F5" s="21" t="b">
        <v>1</v>
      </c>
      <c r="G5" s="21" t="b">
        <v>0</v>
      </c>
      <c r="H5" s="21" t="b">
        <v>0</v>
      </c>
      <c r="I5" s="21" t="b">
        <v>0</v>
      </c>
      <c r="J5" s="21" t="b">
        <v>0</v>
      </c>
      <c r="K5" s="21" t="b">
        <v>0</v>
      </c>
      <c r="L5" s="21" t="b">
        <v>0</v>
      </c>
      <c r="M5" s="21" t="b">
        <v>1</v>
      </c>
      <c r="N5" s="21" t="b">
        <v>0</v>
      </c>
      <c r="O5" s="21" t="b">
        <v>0</v>
      </c>
      <c r="P5" s="21" t="b">
        <v>0</v>
      </c>
      <c r="Q5" s="21" t="b">
        <v>0</v>
      </c>
      <c r="R5" s="21" t="b">
        <v>0</v>
      </c>
      <c r="S5" s="21" t="b">
        <v>0</v>
      </c>
      <c r="T5" s="21" t="b">
        <v>0</v>
      </c>
      <c r="U5" s="21" t="b">
        <v>0</v>
      </c>
      <c r="V5" s="21" t="b">
        <v>0</v>
      </c>
      <c r="W5" s="21" t="b">
        <v>0</v>
      </c>
      <c r="X5" s="21" t="b">
        <v>0</v>
      </c>
      <c r="Y5" s="21"/>
      <c r="Z5" s="21"/>
      <c r="AA5" s="21"/>
    </row>
    <row r="6" ht="15.75" customHeight="1">
      <c r="A6" s="26" t="s">
        <v>53</v>
      </c>
      <c r="B6" s="29">
        <f t="shared" si="1"/>
        <v>0.1111111111</v>
      </c>
      <c r="C6" s="29">
        <f t="shared" si="2"/>
        <v>0.1</v>
      </c>
      <c r="D6" s="21"/>
      <c r="E6" s="21" t="b">
        <v>0</v>
      </c>
      <c r="F6" s="21" t="b">
        <v>0</v>
      </c>
      <c r="G6" s="21" t="b">
        <v>0</v>
      </c>
      <c r="H6" s="21" t="b">
        <v>0</v>
      </c>
      <c r="I6" s="21" t="b">
        <v>0</v>
      </c>
      <c r="J6" s="21" t="b">
        <v>0</v>
      </c>
      <c r="K6" s="21" t="b">
        <v>0</v>
      </c>
      <c r="L6" s="21" t="b">
        <v>0</v>
      </c>
      <c r="M6" s="21" t="b">
        <v>1</v>
      </c>
      <c r="N6" s="21" t="b">
        <v>0</v>
      </c>
      <c r="O6" s="21" t="b">
        <v>1</v>
      </c>
      <c r="P6" s="21" t="b">
        <v>0</v>
      </c>
      <c r="Q6" s="21" t="b">
        <v>0</v>
      </c>
      <c r="R6" s="21" t="b">
        <v>0</v>
      </c>
      <c r="S6" s="21" t="b">
        <v>0</v>
      </c>
      <c r="T6" s="21" t="b">
        <v>0</v>
      </c>
      <c r="U6" s="21" t="b">
        <v>0</v>
      </c>
      <c r="V6" s="21" t="b">
        <v>0</v>
      </c>
      <c r="W6" s="21" t="b">
        <v>0</v>
      </c>
      <c r="X6" s="21" t="b">
        <v>0</v>
      </c>
      <c r="Y6" s="21"/>
      <c r="Z6" s="21"/>
      <c r="AA6" s="21"/>
    </row>
    <row r="7" ht="15.75" customHeight="1">
      <c r="A7" s="26" t="s">
        <v>54</v>
      </c>
      <c r="B7" s="29">
        <f t="shared" si="1"/>
        <v>0.4444444444</v>
      </c>
      <c r="C7" s="29">
        <f t="shared" si="2"/>
        <v>0.2</v>
      </c>
      <c r="D7" s="29"/>
      <c r="E7" s="21" t="b">
        <v>1</v>
      </c>
      <c r="F7" s="21" t="b">
        <v>1</v>
      </c>
      <c r="G7" s="21" t="b">
        <v>0</v>
      </c>
      <c r="H7" s="21" t="b">
        <v>0</v>
      </c>
      <c r="I7" s="21" t="b">
        <v>0</v>
      </c>
      <c r="J7" s="21" t="b">
        <v>1</v>
      </c>
      <c r="K7" s="21" t="b">
        <v>0</v>
      </c>
      <c r="L7" s="21" t="b">
        <v>0</v>
      </c>
      <c r="M7" s="21" t="b">
        <v>1</v>
      </c>
      <c r="N7" s="21" t="b">
        <v>0</v>
      </c>
      <c r="O7" s="21" t="b">
        <v>0</v>
      </c>
      <c r="P7" s="21" t="b">
        <v>0</v>
      </c>
      <c r="Q7" s="21" t="b">
        <v>0</v>
      </c>
      <c r="R7" s="21" t="b">
        <v>0</v>
      </c>
      <c r="S7" s="21" t="b">
        <v>0</v>
      </c>
      <c r="T7" s="21" t="b">
        <v>0</v>
      </c>
      <c r="U7" s="21" t="b">
        <v>0</v>
      </c>
      <c r="V7" s="21" t="b">
        <v>0</v>
      </c>
      <c r="W7" s="21" t="b">
        <v>0</v>
      </c>
      <c r="X7" s="21" t="b">
        <v>0</v>
      </c>
      <c r="Y7" s="21"/>
      <c r="Z7" s="21"/>
      <c r="AA7" s="21"/>
    </row>
    <row r="8" ht="15.75" customHeight="1">
      <c r="A8" s="40" t="s">
        <v>55</v>
      </c>
      <c r="B8" s="29">
        <f t="shared" si="1"/>
        <v>0.2222222222</v>
      </c>
      <c r="C8" s="29">
        <f t="shared" si="2"/>
        <v>0.1</v>
      </c>
      <c r="D8" s="21"/>
      <c r="E8" s="21" t="b">
        <v>0</v>
      </c>
      <c r="F8" s="21" t="b">
        <v>0</v>
      </c>
      <c r="G8" s="21" t="b">
        <v>0</v>
      </c>
      <c r="H8" s="21" t="b">
        <v>0</v>
      </c>
      <c r="I8" s="21" t="b">
        <v>0</v>
      </c>
      <c r="J8" s="21" t="b">
        <v>1</v>
      </c>
      <c r="K8" s="21" t="b">
        <v>0</v>
      </c>
      <c r="L8" s="21" t="b">
        <v>0</v>
      </c>
      <c r="M8" s="21" t="b">
        <v>1</v>
      </c>
      <c r="N8" s="21" t="b">
        <v>0</v>
      </c>
      <c r="O8" s="21" t="b">
        <v>0</v>
      </c>
      <c r="P8" s="21" t="b">
        <v>0</v>
      </c>
      <c r="Q8" s="21" t="b">
        <v>0</v>
      </c>
      <c r="R8" s="21" t="b">
        <v>0</v>
      </c>
      <c r="S8" s="21" t="b">
        <v>0</v>
      </c>
      <c r="T8" s="21" t="b">
        <v>0</v>
      </c>
      <c r="U8" s="21" t="b">
        <v>0</v>
      </c>
      <c r="V8" s="21" t="b">
        <v>0</v>
      </c>
      <c r="W8" s="21" t="b">
        <v>0</v>
      </c>
      <c r="X8" s="21" t="b">
        <v>0</v>
      </c>
      <c r="Y8" s="21"/>
      <c r="Z8" s="21"/>
      <c r="AA8" s="21"/>
    </row>
    <row r="9" ht="15.75" customHeight="1">
      <c r="A9" s="41" t="s">
        <v>56</v>
      </c>
      <c r="B9" s="29">
        <f t="shared" si="1"/>
        <v>0.2222222222</v>
      </c>
      <c r="C9" s="29">
        <f t="shared" si="2"/>
        <v>0.15</v>
      </c>
      <c r="D9" s="21"/>
      <c r="E9" s="21" t="b">
        <v>1</v>
      </c>
      <c r="F9" s="21" t="b">
        <v>0</v>
      </c>
      <c r="G9" s="21" t="b">
        <v>0</v>
      </c>
      <c r="H9" s="21" t="b">
        <v>0</v>
      </c>
      <c r="I9" s="21" t="b">
        <v>0</v>
      </c>
      <c r="J9" s="21" t="b">
        <v>0</v>
      </c>
      <c r="K9" s="21" t="b">
        <v>0</v>
      </c>
      <c r="L9" s="21" t="b">
        <v>0</v>
      </c>
      <c r="M9" s="21" t="b">
        <v>1</v>
      </c>
      <c r="N9" s="21" t="b">
        <v>1</v>
      </c>
      <c r="O9" s="21" t="b">
        <v>0</v>
      </c>
      <c r="P9" s="21" t="b">
        <v>0</v>
      </c>
      <c r="Q9" s="21" t="b">
        <v>0</v>
      </c>
      <c r="R9" s="21" t="b">
        <v>0</v>
      </c>
      <c r="S9" s="21" t="b">
        <v>0</v>
      </c>
      <c r="T9" s="21" t="b">
        <v>0</v>
      </c>
      <c r="U9" s="21" t="b">
        <v>0</v>
      </c>
      <c r="V9" s="21" t="b">
        <v>0</v>
      </c>
      <c r="W9" s="21" t="b">
        <v>0</v>
      </c>
      <c r="X9" s="21" t="b">
        <v>0</v>
      </c>
      <c r="Y9" s="21"/>
      <c r="Z9" s="21"/>
      <c r="AA9" s="21"/>
    </row>
    <row r="10" ht="15.75" customHeight="1">
      <c r="A10" s="41" t="s">
        <v>57</v>
      </c>
      <c r="B10" s="29">
        <f t="shared" si="1"/>
        <v>0.1111111111</v>
      </c>
      <c r="C10" s="29">
        <f t="shared" si="2"/>
        <v>0.05</v>
      </c>
      <c r="D10" s="21"/>
      <c r="E10" s="21" t="b">
        <v>0</v>
      </c>
      <c r="F10" s="21" t="b">
        <v>0</v>
      </c>
      <c r="G10" s="21" t="b">
        <v>0</v>
      </c>
      <c r="H10" s="21" t="b">
        <v>0</v>
      </c>
      <c r="I10" s="21" t="b">
        <v>0</v>
      </c>
      <c r="J10" s="21" t="b">
        <v>0</v>
      </c>
      <c r="K10" s="21" t="b">
        <v>0</v>
      </c>
      <c r="L10" s="21" t="b">
        <v>0</v>
      </c>
      <c r="M10" s="21" t="b">
        <v>1</v>
      </c>
      <c r="N10" s="21" t="b">
        <v>0</v>
      </c>
      <c r="O10" s="21" t="b">
        <v>0</v>
      </c>
      <c r="P10" s="21" t="b">
        <v>0</v>
      </c>
      <c r="Q10" s="21" t="b">
        <v>0</v>
      </c>
      <c r="R10" s="21" t="b">
        <v>0</v>
      </c>
      <c r="S10" s="21" t="b">
        <v>0</v>
      </c>
      <c r="T10" s="21" t="b">
        <v>0</v>
      </c>
      <c r="U10" s="21" t="b">
        <v>0</v>
      </c>
      <c r="V10" s="21" t="b">
        <v>0</v>
      </c>
      <c r="W10" s="21" t="b">
        <v>0</v>
      </c>
      <c r="X10" s="21" t="b">
        <v>0</v>
      </c>
      <c r="Y10" s="21"/>
      <c r="Z10" s="21"/>
      <c r="AA10" s="21"/>
    </row>
    <row r="11" ht="15.75" customHeight="1">
      <c r="A11" s="42" t="s">
        <v>58</v>
      </c>
      <c r="B11" s="29">
        <f t="shared" si="1"/>
        <v>0.1111111111</v>
      </c>
      <c r="C11" s="29">
        <f t="shared" si="2"/>
        <v>0.05</v>
      </c>
      <c r="D11" s="29"/>
      <c r="E11" s="21" t="b">
        <v>0</v>
      </c>
      <c r="F11" s="21" t="b">
        <v>0</v>
      </c>
      <c r="G11" s="21" t="b">
        <v>0</v>
      </c>
      <c r="H11" s="21" t="b">
        <v>0</v>
      </c>
      <c r="I11" s="21" t="b">
        <v>0</v>
      </c>
      <c r="J11" s="21" t="b">
        <v>0</v>
      </c>
      <c r="K11" s="21" t="b">
        <v>0</v>
      </c>
      <c r="L11" s="21" t="b">
        <v>0</v>
      </c>
      <c r="M11" s="21" t="b">
        <v>1</v>
      </c>
      <c r="N11" s="21" t="b">
        <v>0</v>
      </c>
      <c r="O11" s="21" t="b">
        <v>0</v>
      </c>
      <c r="P11" s="21" t="b">
        <v>0</v>
      </c>
      <c r="Q11" s="21" t="b">
        <v>0</v>
      </c>
      <c r="R11" s="21" t="b">
        <v>0</v>
      </c>
      <c r="S11" s="21" t="b">
        <v>0</v>
      </c>
      <c r="T11" s="21" t="b">
        <v>0</v>
      </c>
      <c r="U11" s="21" t="b">
        <v>0</v>
      </c>
      <c r="V11" s="21" t="b">
        <v>0</v>
      </c>
      <c r="W11" s="21" t="b">
        <v>0</v>
      </c>
      <c r="X11" s="21" t="b">
        <v>0</v>
      </c>
      <c r="Y11" s="21"/>
      <c r="Z11" s="21"/>
      <c r="AA11" s="21"/>
    </row>
    <row r="12" ht="15.75" customHeight="1">
      <c r="A12" s="41" t="s">
        <v>59</v>
      </c>
      <c r="B12" s="29">
        <f t="shared" si="1"/>
        <v>0.3333333333</v>
      </c>
      <c r="C12" s="29">
        <f t="shared" si="2"/>
        <v>0.2</v>
      </c>
      <c r="D12" s="21"/>
      <c r="E12" s="21" t="b">
        <v>1</v>
      </c>
      <c r="F12" s="21" t="b">
        <v>0</v>
      </c>
      <c r="G12" s="21" t="b">
        <v>0</v>
      </c>
      <c r="H12" s="21" t="b">
        <v>0</v>
      </c>
      <c r="I12" s="21" t="b">
        <v>0</v>
      </c>
      <c r="J12" s="21" t="b">
        <v>1</v>
      </c>
      <c r="K12" s="21" t="b">
        <v>0</v>
      </c>
      <c r="L12" s="21" t="b">
        <v>0</v>
      </c>
      <c r="M12" s="21" t="b">
        <v>1</v>
      </c>
      <c r="N12" s="21" t="b">
        <v>1</v>
      </c>
      <c r="O12" s="21" t="b">
        <v>0</v>
      </c>
      <c r="P12" s="21" t="b">
        <v>0</v>
      </c>
      <c r="Q12" s="21" t="b">
        <v>0</v>
      </c>
      <c r="R12" s="21" t="b">
        <v>0</v>
      </c>
      <c r="S12" s="21" t="b">
        <v>0</v>
      </c>
      <c r="T12" s="21" t="b">
        <v>0</v>
      </c>
      <c r="U12" s="21" t="b">
        <v>0</v>
      </c>
      <c r="V12" s="21" t="b">
        <v>0</v>
      </c>
      <c r="W12" s="21" t="b">
        <v>0</v>
      </c>
      <c r="X12" s="21" t="b">
        <v>0</v>
      </c>
      <c r="Y12" s="21"/>
      <c r="Z12" s="21"/>
      <c r="AA12" s="21"/>
    </row>
    <row r="13" ht="15.75" customHeight="1">
      <c r="A13" s="26" t="s">
        <v>60</v>
      </c>
      <c r="B13" s="29">
        <f t="shared" si="1"/>
        <v>0.2222222222</v>
      </c>
      <c r="C13" s="29">
        <f t="shared" si="2"/>
        <v>0.1</v>
      </c>
      <c r="D13" s="21"/>
      <c r="E13" s="21" t="b">
        <v>1</v>
      </c>
      <c r="F13" s="21" t="b">
        <v>0</v>
      </c>
      <c r="G13" s="21" t="b">
        <v>0</v>
      </c>
      <c r="H13" s="21" t="b">
        <v>0</v>
      </c>
      <c r="I13" s="21" t="b">
        <v>0</v>
      </c>
      <c r="J13" s="21" t="b">
        <v>0</v>
      </c>
      <c r="K13" s="21" t="b">
        <v>0</v>
      </c>
      <c r="L13" s="21" t="b">
        <v>0</v>
      </c>
      <c r="M13" s="21" t="b">
        <v>1</v>
      </c>
      <c r="N13" s="21" t="b">
        <v>0</v>
      </c>
      <c r="O13" s="21" t="b">
        <v>0</v>
      </c>
      <c r="P13" s="21" t="b">
        <v>0</v>
      </c>
      <c r="Q13" s="21" t="b">
        <v>0</v>
      </c>
      <c r="R13" s="21" t="b">
        <v>0</v>
      </c>
      <c r="S13" s="21" t="b">
        <v>0</v>
      </c>
      <c r="T13" s="21" t="b">
        <v>0</v>
      </c>
      <c r="U13" s="21" t="b">
        <v>0</v>
      </c>
      <c r="V13" s="21" t="b">
        <v>0</v>
      </c>
      <c r="W13" s="21" t="b">
        <v>0</v>
      </c>
      <c r="X13" s="21" t="b">
        <v>0</v>
      </c>
      <c r="Y13" s="21"/>
      <c r="Z13" s="21"/>
      <c r="AA13" s="21"/>
    </row>
    <row r="14" ht="15.75" customHeight="1">
      <c r="A14" s="41" t="s">
        <v>61</v>
      </c>
      <c r="B14" s="29">
        <f t="shared" si="1"/>
        <v>0.3333333333</v>
      </c>
      <c r="C14" s="29">
        <f t="shared" si="2"/>
        <v>0.15</v>
      </c>
      <c r="D14" s="21"/>
      <c r="E14" s="21" t="b">
        <v>1</v>
      </c>
      <c r="F14" s="21" t="b">
        <v>0</v>
      </c>
      <c r="G14" s="21" t="b">
        <v>0</v>
      </c>
      <c r="H14" s="21" t="b">
        <v>0</v>
      </c>
      <c r="I14" s="21" t="b">
        <v>0</v>
      </c>
      <c r="J14" s="21" t="b">
        <v>1</v>
      </c>
      <c r="K14" s="21" t="b">
        <v>0</v>
      </c>
      <c r="L14" s="21" t="b">
        <v>0</v>
      </c>
      <c r="M14" s="21" t="b">
        <v>1</v>
      </c>
      <c r="N14" s="21" t="b">
        <v>0</v>
      </c>
      <c r="O14" s="21" t="b">
        <v>0</v>
      </c>
      <c r="P14" s="21" t="b">
        <v>0</v>
      </c>
      <c r="Q14" s="21" t="b">
        <v>0</v>
      </c>
      <c r="R14" s="21" t="b">
        <v>0</v>
      </c>
      <c r="S14" s="21" t="b">
        <v>0</v>
      </c>
      <c r="T14" s="21" t="b">
        <v>0</v>
      </c>
      <c r="U14" s="21" t="b">
        <v>0</v>
      </c>
      <c r="V14" s="21" t="b">
        <v>0</v>
      </c>
      <c r="W14" s="21" t="b">
        <v>0</v>
      </c>
      <c r="X14" s="21" t="b">
        <v>0</v>
      </c>
      <c r="Y14" s="21"/>
      <c r="Z14" s="21"/>
      <c r="AA14" s="21"/>
    </row>
    <row r="15" ht="15.75" customHeight="1">
      <c r="A15" s="41" t="s">
        <v>62</v>
      </c>
      <c r="B15" s="29">
        <f t="shared" si="1"/>
        <v>0.2222222222</v>
      </c>
      <c r="C15" s="29">
        <f t="shared" si="2"/>
        <v>0.1</v>
      </c>
      <c r="D15" s="29"/>
      <c r="E15" s="21" t="b">
        <v>1</v>
      </c>
      <c r="F15" s="21" t="b">
        <v>0</v>
      </c>
      <c r="G15" s="21" t="b">
        <v>0</v>
      </c>
      <c r="H15" s="21" t="b">
        <v>0</v>
      </c>
      <c r="I15" s="21" t="b">
        <v>0</v>
      </c>
      <c r="J15" s="21" t="b">
        <v>0</v>
      </c>
      <c r="K15" s="21" t="b">
        <v>0</v>
      </c>
      <c r="L15" s="21" t="b">
        <v>0</v>
      </c>
      <c r="M15" s="21" t="b">
        <v>1</v>
      </c>
      <c r="N15" s="21" t="b">
        <v>0</v>
      </c>
      <c r="O15" s="21" t="b">
        <v>0</v>
      </c>
      <c r="P15" s="21" t="b">
        <v>0</v>
      </c>
      <c r="Q15" s="21" t="b">
        <v>0</v>
      </c>
      <c r="R15" s="21" t="b">
        <v>0</v>
      </c>
      <c r="S15" s="21" t="b">
        <v>0</v>
      </c>
      <c r="T15" s="21" t="b">
        <v>0</v>
      </c>
      <c r="U15" s="21" t="b">
        <v>0</v>
      </c>
      <c r="V15" s="21" t="b">
        <v>0</v>
      </c>
      <c r="W15" s="21" t="b">
        <v>0</v>
      </c>
      <c r="X15" s="21" t="b">
        <v>0</v>
      </c>
      <c r="Y15" s="21"/>
      <c r="Z15" s="21"/>
      <c r="AA15" s="21"/>
    </row>
    <row r="16" ht="15.75" customHeight="1">
      <c r="A16" s="26" t="s">
        <v>63</v>
      </c>
      <c r="B16" s="29">
        <f t="shared" si="1"/>
        <v>0.2222222222</v>
      </c>
      <c r="C16" s="29">
        <f t="shared" si="2"/>
        <v>0.1</v>
      </c>
      <c r="D16" s="21"/>
      <c r="E16" s="21" t="b">
        <v>0</v>
      </c>
      <c r="F16" s="21" t="b">
        <v>0</v>
      </c>
      <c r="G16" s="21" t="b">
        <v>0</v>
      </c>
      <c r="H16" s="21" t="b">
        <v>0</v>
      </c>
      <c r="I16" s="21" t="b">
        <v>0</v>
      </c>
      <c r="J16" s="21" t="b">
        <v>1</v>
      </c>
      <c r="K16" s="21" t="b">
        <v>0</v>
      </c>
      <c r="L16" s="21" t="b">
        <v>0</v>
      </c>
      <c r="M16" s="21" t="b">
        <v>1</v>
      </c>
      <c r="N16" s="21" t="b">
        <v>0</v>
      </c>
      <c r="O16" s="21" t="b">
        <v>0</v>
      </c>
      <c r="P16" s="21" t="b">
        <v>0</v>
      </c>
      <c r="Q16" s="21" t="b">
        <v>0</v>
      </c>
      <c r="R16" s="21" t="b">
        <v>0</v>
      </c>
      <c r="S16" s="21" t="b">
        <v>0</v>
      </c>
      <c r="T16" s="21" t="b">
        <v>0</v>
      </c>
      <c r="U16" s="21" t="b">
        <v>0</v>
      </c>
      <c r="V16" s="21" t="b">
        <v>0</v>
      </c>
      <c r="W16" s="21" t="b">
        <v>0</v>
      </c>
      <c r="X16" s="21" t="b">
        <v>0</v>
      </c>
      <c r="Y16" s="21"/>
      <c r="Z16" s="21"/>
      <c r="AA16" s="21"/>
    </row>
    <row r="17" ht="15.75" customHeight="1">
      <c r="A17" s="10" t="s">
        <v>64</v>
      </c>
      <c r="B17" s="21"/>
      <c r="C17" s="21"/>
      <c r="D17" s="21"/>
      <c r="E17" s="10">
        <f t="shared" ref="E17:X17" si="3">COUNTIF(E2:E16, TRUE)</f>
        <v>8</v>
      </c>
      <c r="F17" s="10">
        <f t="shared" si="3"/>
        <v>2</v>
      </c>
      <c r="G17" s="10">
        <f t="shared" si="3"/>
        <v>0</v>
      </c>
      <c r="H17" s="10">
        <f t="shared" si="3"/>
        <v>0</v>
      </c>
      <c r="I17" s="10">
        <f t="shared" si="3"/>
        <v>0</v>
      </c>
      <c r="J17" s="10">
        <f t="shared" si="3"/>
        <v>5</v>
      </c>
      <c r="K17" s="10">
        <f t="shared" si="3"/>
        <v>0</v>
      </c>
      <c r="L17" s="10">
        <f t="shared" si="3"/>
        <v>1</v>
      </c>
      <c r="M17" s="10">
        <f t="shared" si="3"/>
        <v>15</v>
      </c>
      <c r="N17" s="10">
        <f t="shared" si="3"/>
        <v>2</v>
      </c>
      <c r="O17" s="10">
        <f t="shared" si="3"/>
        <v>1</v>
      </c>
      <c r="P17" s="10">
        <f t="shared" si="3"/>
        <v>0</v>
      </c>
      <c r="Q17" s="10">
        <f t="shared" si="3"/>
        <v>0</v>
      </c>
      <c r="R17" s="10">
        <f t="shared" si="3"/>
        <v>0</v>
      </c>
      <c r="S17" s="10">
        <f t="shared" si="3"/>
        <v>0</v>
      </c>
      <c r="T17" s="10">
        <f t="shared" si="3"/>
        <v>0</v>
      </c>
      <c r="U17" s="10">
        <f t="shared" si="3"/>
        <v>0</v>
      </c>
      <c r="V17" s="10">
        <f t="shared" si="3"/>
        <v>1</v>
      </c>
      <c r="W17" s="10">
        <f t="shared" si="3"/>
        <v>0</v>
      </c>
      <c r="X17" s="10">
        <f t="shared" si="3"/>
        <v>0</v>
      </c>
    </row>
    <row r="18" ht="15.75" customHeight="1">
      <c r="B18" s="21"/>
      <c r="C18" s="21"/>
      <c r="D18" s="21"/>
    </row>
    <row r="19" ht="15.75" customHeight="1">
      <c r="B19" s="21"/>
      <c r="C19" s="21"/>
      <c r="D19" s="21"/>
      <c r="I19" s="43"/>
    </row>
    <row r="20" ht="15.75" customHeight="1">
      <c r="B20" s="21"/>
      <c r="C20" s="21"/>
      <c r="D20" s="21"/>
    </row>
    <row r="21" ht="15.75" customHeight="1">
      <c r="B21" s="21"/>
      <c r="C21" s="21"/>
      <c r="D21" s="21"/>
      <c r="E21" s="33" t="s">
        <v>65</v>
      </c>
    </row>
    <row r="22" ht="15.75" customHeight="1">
      <c r="B22" s="21"/>
      <c r="C22" s="21"/>
      <c r="D22" s="21"/>
      <c r="E22" s="34" t="s">
        <v>66</v>
      </c>
    </row>
    <row r="23" ht="15.75" customHeight="1">
      <c r="B23" s="21"/>
      <c r="C23" s="21"/>
      <c r="D23" s="21"/>
      <c r="E23" s="36" t="s">
        <v>28</v>
      </c>
    </row>
    <row r="24" ht="15.75" customHeight="1">
      <c r="B24" s="21"/>
      <c r="C24" s="21"/>
      <c r="D24" s="21"/>
      <c r="E24" s="37" t="s">
        <v>68</v>
      </c>
    </row>
    <row r="25" ht="15.75" customHeight="1">
      <c r="B25" s="21"/>
      <c r="C25" s="21"/>
      <c r="D25" s="21"/>
      <c r="E25" s="26"/>
    </row>
    <row r="26" ht="15.75" customHeight="1">
      <c r="B26" s="21"/>
      <c r="C26" s="21"/>
      <c r="D26" s="21"/>
      <c r="E26" s="26"/>
    </row>
    <row r="27" ht="15.75" customHeight="1">
      <c r="B27" s="21"/>
      <c r="C27" s="21"/>
      <c r="D27" s="21"/>
      <c r="E27" s="26"/>
    </row>
    <row r="28" ht="15.75" customHeight="1">
      <c r="B28" s="21"/>
      <c r="C28" s="21"/>
      <c r="D28" s="21"/>
      <c r="E28" s="26"/>
    </row>
    <row r="29" ht="15.75" customHeight="1">
      <c r="B29" s="21"/>
      <c r="C29" s="21"/>
      <c r="D29" s="21"/>
      <c r="E29" s="26"/>
    </row>
    <row r="30" ht="15.75" customHeight="1">
      <c r="B30" s="21"/>
      <c r="C30" s="21"/>
      <c r="D30" s="21"/>
      <c r="E30" s="26"/>
    </row>
    <row r="31" ht="15.75" customHeight="1">
      <c r="B31" s="21"/>
      <c r="C31" s="21"/>
      <c r="D31" s="21"/>
      <c r="E31" s="26"/>
    </row>
    <row r="32" ht="15.75" customHeight="1">
      <c r="B32" s="21"/>
      <c r="C32" s="21"/>
      <c r="D32" s="21"/>
      <c r="E32" s="26"/>
    </row>
    <row r="33" ht="15.75" customHeight="1">
      <c r="B33" s="21"/>
      <c r="C33" s="21"/>
      <c r="D33" s="21"/>
      <c r="E33" s="26"/>
    </row>
    <row r="34" ht="15.75" customHeight="1">
      <c r="B34" s="21"/>
      <c r="C34" s="21"/>
      <c r="D34" s="21"/>
      <c r="E34" s="26"/>
    </row>
    <row r="35" ht="15.75" customHeight="1">
      <c r="B35" s="21"/>
      <c r="C35" s="21"/>
      <c r="D35" s="21"/>
      <c r="E35" s="26"/>
    </row>
    <row r="36" ht="15.75" customHeight="1">
      <c r="B36" s="21"/>
      <c r="C36" s="21"/>
      <c r="D36" s="21"/>
      <c r="E36" s="26"/>
    </row>
    <row r="37" ht="15.75" customHeight="1">
      <c r="B37" s="21"/>
      <c r="C37" s="21"/>
      <c r="D37" s="21"/>
    </row>
    <row r="38" ht="15.75" customHeight="1">
      <c r="B38" s="21"/>
      <c r="C38" s="21"/>
      <c r="D38" s="21"/>
    </row>
    <row r="39" ht="15.75" customHeight="1">
      <c r="B39" s="21"/>
      <c r="C39" s="21"/>
      <c r="D39" s="21"/>
    </row>
    <row r="40" ht="15.75" customHeight="1">
      <c r="B40" s="21"/>
      <c r="C40" s="21"/>
      <c r="D40" s="21"/>
    </row>
    <row r="41" ht="15.75" customHeight="1">
      <c r="B41" s="21"/>
      <c r="C41" s="21"/>
      <c r="D41" s="21"/>
    </row>
    <row r="42" ht="15.75" customHeight="1">
      <c r="B42" s="21"/>
      <c r="C42" s="21"/>
      <c r="D42" s="21"/>
    </row>
    <row r="43" ht="15.75" customHeight="1">
      <c r="B43" s="21"/>
      <c r="C43" s="21"/>
      <c r="D43" s="21"/>
    </row>
    <row r="44" ht="15.75" customHeight="1">
      <c r="B44" s="21"/>
      <c r="C44" s="21"/>
      <c r="D44" s="21"/>
    </row>
    <row r="45" ht="15.75" customHeight="1">
      <c r="B45" s="21"/>
      <c r="C45" s="21"/>
      <c r="D45" s="21"/>
    </row>
    <row r="46" ht="15.75" customHeight="1">
      <c r="B46" s="21"/>
      <c r="C46" s="21"/>
      <c r="D46" s="21"/>
    </row>
    <row r="47" ht="15.75" customHeight="1">
      <c r="B47" s="21"/>
      <c r="C47" s="21"/>
      <c r="D47" s="21"/>
    </row>
    <row r="48" ht="15.75" customHeight="1">
      <c r="B48" s="21"/>
      <c r="C48" s="21"/>
      <c r="D48" s="21"/>
    </row>
    <row r="49" ht="15.75" customHeight="1">
      <c r="B49" s="21"/>
      <c r="C49" s="21"/>
      <c r="D49" s="21"/>
    </row>
    <row r="50" ht="15.75" customHeight="1">
      <c r="B50" s="21"/>
      <c r="C50" s="21"/>
      <c r="D50" s="21"/>
    </row>
    <row r="51" ht="15.75" customHeight="1">
      <c r="B51" s="21"/>
      <c r="C51" s="21"/>
      <c r="D51" s="21"/>
    </row>
    <row r="52" ht="15.75" customHeight="1">
      <c r="B52" s="21"/>
      <c r="C52" s="21"/>
      <c r="D52" s="21"/>
    </row>
    <row r="53" ht="15.75" customHeight="1">
      <c r="B53" s="21"/>
      <c r="C53" s="21"/>
      <c r="D53" s="21"/>
    </row>
    <row r="54" ht="15.75" customHeight="1">
      <c r="B54" s="21"/>
      <c r="C54" s="21"/>
      <c r="D54" s="21"/>
    </row>
    <row r="55" ht="15.75" customHeight="1">
      <c r="B55" s="21"/>
      <c r="C55" s="21"/>
      <c r="D55" s="21"/>
    </row>
    <row r="56" ht="15.75" customHeight="1">
      <c r="B56" s="21"/>
      <c r="C56" s="21"/>
      <c r="D56" s="21"/>
    </row>
    <row r="57" ht="15.75" customHeight="1">
      <c r="B57" s="21"/>
      <c r="C57" s="21"/>
      <c r="D57" s="21"/>
    </row>
    <row r="58" ht="15.75" customHeight="1">
      <c r="B58" s="21"/>
      <c r="C58" s="21"/>
      <c r="D58" s="21"/>
    </row>
    <row r="59" ht="15.75" customHeight="1">
      <c r="B59" s="21"/>
      <c r="C59" s="21"/>
      <c r="D59" s="21"/>
    </row>
    <row r="60" ht="15.75" customHeight="1">
      <c r="B60" s="21"/>
      <c r="C60" s="21"/>
      <c r="D60" s="21"/>
    </row>
    <row r="61" ht="15.75" customHeight="1">
      <c r="B61" s="21"/>
      <c r="C61" s="21"/>
      <c r="D61" s="21"/>
    </row>
    <row r="62" ht="15.75" customHeight="1">
      <c r="B62" s="21"/>
      <c r="C62" s="21"/>
      <c r="D62" s="21"/>
    </row>
    <row r="63" ht="15.75" customHeight="1">
      <c r="B63" s="21"/>
      <c r="C63" s="21"/>
      <c r="D63" s="21"/>
    </row>
    <row r="64" ht="15.75" customHeight="1">
      <c r="B64" s="21"/>
      <c r="C64" s="21"/>
      <c r="D64" s="21"/>
    </row>
    <row r="65" ht="15.75" customHeight="1">
      <c r="B65" s="21"/>
      <c r="C65" s="21"/>
      <c r="D65" s="21"/>
    </row>
    <row r="66" ht="15.75" customHeight="1">
      <c r="B66" s="21"/>
      <c r="C66" s="21"/>
      <c r="D66" s="21"/>
    </row>
    <row r="67" ht="15.75" customHeight="1">
      <c r="B67" s="21"/>
      <c r="C67" s="21"/>
      <c r="D67" s="21"/>
    </row>
    <row r="68" ht="15.75" customHeight="1">
      <c r="B68" s="21"/>
      <c r="C68" s="21"/>
      <c r="D68" s="21"/>
    </row>
    <row r="69" ht="15.75" customHeight="1">
      <c r="B69" s="21"/>
      <c r="C69" s="21"/>
      <c r="D69" s="21"/>
    </row>
    <row r="70" ht="15.75" customHeight="1">
      <c r="B70" s="21"/>
      <c r="C70" s="21"/>
      <c r="D70" s="21"/>
    </row>
    <row r="71" ht="15.75" customHeight="1">
      <c r="B71" s="21"/>
      <c r="C71" s="21"/>
      <c r="D71" s="21"/>
    </row>
    <row r="72" ht="15.75" customHeight="1">
      <c r="B72" s="21"/>
      <c r="C72" s="21"/>
      <c r="D72" s="21"/>
    </row>
    <row r="73" ht="15.75" customHeight="1">
      <c r="B73" s="21"/>
      <c r="C73" s="21"/>
      <c r="D73" s="21"/>
    </row>
    <row r="74" ht="15.75" customHeight="1">
      <c r="B74" s="21"/>
      <c r="C74" s="21"/>
      <c r="D74" s="21"/>
    </row>
    <row r="75" ht="15.75" customHeight="1">
      <c r="B75" s="21"/>
      <c r="C75" s="21"/>
      <c r="D75" s="21"/>
    </row>
    <row r="76" ht="15.75" customHeight="1">
      <c r="B76" s="21"/>
      <c r="C76" s="21"/>
      <c r="D76" s="21"/>
    </row>
    <row r="77" ht="15.75" customHeight="1">
      <c r="B77" s="21"/>
      <c r="C77" s="21"/>
      <c r="D77" s="21"/>
    </row>
    <row r="78" ht="15.75" customHeight="1">
      <c r="B78" s="21"/>
      <c r="C78" s="21"/>
      <c r="D78" s="21"/>
    </row>
    <row r="79" ht="15.75" customHeight="1">
      <c r="B79" s="21"/>
      <c r="C79" s="21"/>
      <c r="D79" s="21"/>
    </row>
    <row r="80" ht="15.75" customHeight="1">
      <c r="B80" s="21"/>
      <c r="C80" s="21"/>
      <c r="D80" s="21"/>
    </row>
    <row r="81" ht="15.75" customHeight="1">
      <c r="B81" s="21"/>
      <c r="C81" s="21"/>
      <c r="D81" s="21"/>
    </row>
    <row r="82" ht="15.75" customHeight="1">
      <c r="B82" s="21"/>
      <c r="C82" s="21"/>
      <c r="D82" s="21"/>
    </row>
    <row r="83" ht="15.75" customHeight="1">
      <c r="B83" s="21"/>
      <c r="C83" s="21"/>
      <c r="D83" s="21"/>
    </row>
    <row r="84" ht="15.75" customHeight="1">
      <c r="B84" s="21"/>
      <c r="C84" s="21"/>
      <c r="D84" s="21"/>
    </row>
    <row r="85" ht="15.75" customHeight="1">
      <c r="B85" s="21"/>
      <c r="C85" s="21"/>
      <c r="D85" s="21"/>
    </row>
    <row r="86" ht="15.75" customHeight="1">
      <c r="B86" s="21"/>
      <c r="C86" s="21"/>
      <c r="D86" s="21"/>
    </row>
    <row r="87" ht="15.75" customHeight="1">
      <c r="B87" s="21"/>
      <c r="C87" s="21"/>
      <c r="D87" s="21"/>
    </row>
    <row r="88" ht="15.75" customHeight="1">
      <c r="B88" s="21"/>
      <c r="C88" s="21"/>
      <c r="D88" s="21"/>
    </row>
    <row r="89" ht="15.75" customHeight="1">
      <c r="B89" s="21"/>
      <c r="C89" s="21"/>
      <c r="D89" s="21"/>
    </row>
    <row r="90" ht="15.75" customHeight="1">
      <c r="B90" s="21"/>
      <c r="C90" s="21"/>
      <c r="D90" s="21"/>
    </row>
    <row r="91" ht="15.75" customHeight="1">
      <c r="B91" s="21"/>
      <c r="C91" s="21"/>
      <c r="D91" s="21"/>
    </row>
    <row r="92" ht="15.75" customHeight="1">
      <c r="B92" s="21"/>
      <c r="C92" s="21"/>
      <c r="D92" s="21"/>
    </row>
    <row r="93" ht="15.75" customHeight="1">
      <c r="B93" s="21"/>
      <c r="C93" s="21"/>
      <c r="D93" s="21"/>
    </row>
    <row r="94" ht="15.75" customHeight="1">
      <c r="B94" s="21"/>
      <c r="C94" s="21"/>
      <c r="D94" s="21"/>
    </row>
    <row r="95" ht="15.75" customHeight="1">
      <c r="B95" s="21"/>
      <c r="C95" s="21"/>
      <c r="D95" s="21"/>
    </row>
    <row r="96" ht="15.75" customHeight="1">
      <c r="B96" s="21"/>
      <c r="C96" s="21"/>
      <c r="D96" s="21"/>
    </row>
    <row r="97" ht="15.75" customHeight="1">
      <c r="B97" s="21"/>
      <c r="C97" s="21"/>
      <c r="D97" s="21"/>
    </row>
    <row r="98" ht="15.75" customHeight="1">
      <c r="B98" s="21"/>
      <c r="C98" s="21"/>
      <c r="D98" s="21"/>
    </row>
    <row r="99" ht="15.75" customHeight="1">
      <c r="B99" s="21"/>
      <c r="C99" s="21"/>
      <c r="D99" s="21"/>
    </row>
    <row r="100" ht="15.75" customHeight="1">
      <c r="B100" s="21"/>
      <c r="C100" s="21"/>
      <c r="D100" s="21"/>
    </row>
    <row r="101" ht="15.75" customHeight="1">
      <c r="B101" s="21"/>
      <c r="C101" s="21"/>
      <c r="D101" s="21"/>
    </row>
    <row r="102" ht="15.75" customHeight="1">
      <c r="B102" s="21"/>
      <c r="C102" s="21"/>
      <c r="D102" s="21"/>
    </row>
    <row r="103" ht="15.75" customHeight="1">
      <c r="B103" s="21"/>
      <c r="C103" s="21"/>
      <c r="D103" s="21"/>
    </row>
    <row r="104" ht="15.75" customHeight="1">
      <c r="B104" s="21"/>
      <c r="C104" s="21"/>
      <c r="D104" s="21"/>
    </row>
    <row r="105" ht="15.75" customHeight="1">
      <c r="B105" s="21"/>
      <c r="C105" s="21"/>
      <c r="D105" s="21"/>
    </row>
    <row r="106" ht="15.75" customHeight="1">
      <c r="B106" s="21"/>
      <c r="C106" s="21"/>
      <c r="D106" s="21"/>
    </row>
    <row r="107" ht="15.75" customHeight="1">
      <c r="B107" s="21"/>
      <c r="C107" s="21"/>
      <c r="D107" s="21"/>
    </row>
    <row r="108" ht="15.75" customHeight="1">
      <c r="B108" s="21"/>
      <c r="C108" s="21"/>
      <c r="D108" s="21"/>
    </row>
    <row r="109" ht="15.75" customHeight="1">
      <c r="B109" s="21"/>
      <c r="C109" s="21"/>
      <c r="D109" s="21"/>
    </row>
    <row r="110" ht="15.75" customHeight="1">
      <c r="B110" s="21"/>
      <c r="C110" s="21"/>
      <c r="D110" s="21"/>
    </row>
    <row r="111" ht="15.75" customHeight="1">
      <c r="B111" s="21"/>
      <c r="C111" s="21"/>
      <c r="D111" s="21"/>
    </row>
    <row r="112" ht="15.75" customHeight="1">
      <c r="B112" s="21"/>
      <c r="C112" s="21"/>
      <c r="D112" s="21"/>
    </row>
    <row r="113" ht="15.75" customHeight="1">
      <c r="B113" s="21"/>
      <c r="C113" s="21"/>
      <c r="D113" s="21"/>
    </row>
    <row r="114" ht="15.75" customHeight="1">
      <c r="B114" s="21"/>
      <c r="C114" s="21"/>
      <c r="D114" s="21"/>
    </row>
    <row r="115" ht="15.75" customHeight="1">
      <c r="B115" s="21"/>
      <c r="C115" s="21"/>
      <c r="D115" s="21"/>
    </row>
    <row r="116" ht="15.75" customHeight="1">
      <c r="B116" s="21"/>
      <c r="C116" s="21"/>
      <c r="D116" s="21"/>
    </row>
    <row r="117" ht="15.75" customHeight="1">
      <c r="B117" s="21"/>
      <c r="C117" s="21"/>
      <c r="D117" s="21"/>
    </row>
    <row r="118" ht="15.75" customHeight="1">
      <c r="B118" s="21"/>
      <c r="C118" s="21"/>
      <c r="D118" s="21"/>
    </row>
    <row r="119" ht="15.75" customHeight="1">
      <c r="B119" s="21"/>
      <c r="C119" s="21"/>
      <c r="D119" s="21"/>
    </row>
    <row r="120" ht="15.75" customHeight="1">
      <c r="B120" s="21"/>
      <c r="C120" s="21"/>
      <c r="D120" s="21"/>
    </row>
    <row r="121" ht="15.75" customHeight="1">
      <c r="B121" s="21"/>
      <c r="C121" s="21"/>
      <c r="D121" s="21"/>
    </row>
    <row r="122" ht="15.75" customHeight="1">
      <c r="B122" s="21"/>
      <c r="C122" s="21"/>
      <c r="D122" s="21"/>
    </row>
    <row r="123" ht="15.75" customHeight="1">
      <c r="B123" s="21"/>
      <c r="C123" s="21"/>
      <c r="D123" s="21"/>
    </row>
    <row r="124" ht="15.75" customHeight="1">
      <c r="B124" s="21"/>
      <c r="C124" s="21"/>
      <c r="D124" s="21"/>
    </row>
    <row r="125" ht="15.75" customHeight="1">
      <c r="B125" s="21"/>
      <c r="C125" s="21"/>
      <c r="D125" s="21"/>
    </row>
    <row r="126" ht="15.75" customHeight="1">
      <c r="B126" s="21"/>
      <c r="C126" s="21"/>
      <c r="D126" s="21"/>
    </row>
    <row r="127" ht="15.75" customHeight="1">
      <c r="B127" s="21"/>
      <c r="C127" s="21"/>
      <c r="D127" s="21"/>
    </row>
    <row r="128" ht="15.75" customHeight="1">
      <c r="B128" s="21"/>
      <c r="C128" s="21"/>
      <c r="D128" s="21"/>
    </row>
    <row r="129" ht="15.75" customHeight="1">
      <c r="B129" s="21"/>
      <c r="C129" s="21"/>
      <c r="D129" s="21"/>
    </row>
    <row r="130" ht="15.75" customHeight="1">
      <c r="B130" s="21"/>
      <c r="C130" s="21"/>
      <c r="D130" s="21"/>
    </row>
    <row r="131" ht="15.75" customHeight="1">
      <c r="B131" s="21"/>
      <c r="C131" s="21"/>
      <c r="D131" s="21"/>
    </row>
    <row r="132" ht="15.75" customHeight="1">
      <c r="B132" s="21"/>
      <c r="C132" s="21"/>
      <c r="D132" s="21"/>
    </row>
    <row r="133" ht="15.75" customHeight="1">
      <c r="B133" s="21"/>
      <c r="C133" s="21"/>
      <c r="D133" s="21"/>
    </row>
    <row r="134" ht="15.75" customHeight="1">
      <c r="B134" s="21"/>
      <c r="C134" s="21"/>
      <c r="D134" s="21"/>
    </row>
    <row r="135" ht="15.75" customHeight="1">
      <c r="B135" s="21"/>
      <c r="C135" s="21"/>
      <c r="D135" s="21"/>
    </row>
    <row r="136" ht="15.75" customHeight="1">
      <c r="B136" s="21"/>
      <c r="C136" s="21"/>
      <c r="D136" s="21"/>
    </row>
    <row r="137" ht="15.75" customHeight="1">
      <c r="B137" s="21"/>
      <c r="C137" s="21"/>
      <c r="D137" s="21"/>
    </row>
    <row r="138" ht="15.75" customHeight="1">
      <c r="B138" s="21"/>
      <c r="C138" s="21"/>
      <c r="D138" s="21"/>
    </row>
    <row r="139" ht="15.75" customHeight="1">
      <c r="B139" s="21"/>
      <c r="C139" s="21"/>
      <c r="D139" s="21"/>
    </row>
    <row r="140" ht="15.75" customHeight="1">
      <c r="B140" s="21"/>
      <c r="C140" s="21"/>
      <c r="D140" s="21"/>
    </row>
    <row r="141" ht="15.75" customHeight="1">
      <c r="B141" s="21"/>
      <c r="C141" s="21"/>
      <c r="D141" s="21"/>
    </row>
    <row r="142" ht="15.75" customHeight="1">
      <c r="B142" s="21"/>
      <c r="C142" s="21"/>
      <c r="D142" s="21"/>
    </row>
    <row r="143" ht="15.75" customHeight="1">
      <c r="B143" s="21"/>
      <c r="C143" s="21"/>
      <c r="D143" s="21"/>
    </row>
    <row r="144" ht="15.75" customHeight="1">
      <c r="B144" s="21"/>
      <c r="C144" s="21"/>
      <c r="D144" s="21"/>
    </row>
    <row r="145" ht="15.75" customHeight="1">
      <c r="B145" s="21"/>
      <c r="C145" s="21"/>
      <c r="D145" s="21"/>
    </row>
    <row r="146" ht="15.75" customHeight="1">
      <c r="B146" s="21"/>
      <c r="C146" s="21"/>
      <c r="D146" s="21"/>
    </row>
    <row r="147" ht="15.75" customHeight="1">
      <c r="B147" s="21"/>
      <c r="C147" s="21"/>
      <c r="D147" s="21"/>
    </row>
    <row r="148" ht="15.75" customHeight="1">
      <c r="B148" s="21"/>
      <c r="C148" s="21"/>
      <c r="D148" s="21"/>
    </row>
    <row r="149" ht="15.75" customHeight="1">
      <c r="B149" s="21"/>
      <c r="C149" s="21"/>
      <c r="D149" s="21"/>
    </row>
    <row r="150" ht="15.75" customHeight="1">
      <c r="B150" s="21"/>
      <c r="C150" s="21"/>
      <c r="D150" s="21"/>
    </row>
    <row r="151" ht="15.75" customHeight="1">
      <c r="B151" s="21"/>
      <c r="C151" s="21"/>
      <c r="D151" s="21"/>
    </row>
    <row r="152" ht="15.75" customHeight="1">
      <c r="B152" s="21"/>
      <c r="C152" s="21"/>
      <c r="D152" s="21"/>
    </row>
    <row r="153" ht="15.75" customHeight="1">
      <c r="B153" s="21"/>
      <c r="C153" s="21"/>
      <c r="D153" s="21"/>
    </row>
    <row r="154" ht="15.75" customHeight="1">
      <c r="B154" s="21"/>
      <c r="C154" s="21"/>
      <c r="D154" s="21"/>
    </row>
    <row r="155" ht="15.75" customHeight="1">
      <c r="B155" s="21"/>
      <c r="C155" s="21"/>
      <c r="D155" s="21"/>
    </row>
    <row r="156" ht="15.75" customHeight="1">
      <c r="B156" s="21"/>
      <c r="C156" s="21"/>
      <c r="D156" s="21"/>
    </row>
    <row r="157" ht="15.75" customHeight="1">
      <c r="B157" s="21"/>
      <c r="C157" s="21"/>
      <c r="D157" s="21"/>
    </row>
    <row r="158" ht="15.75" customHeight="1">
      <c r="B158" s="21"/>
      <c r="C158" s="21"/>
      <c r="D158" s="21"/>
    </row>
    <row r="159" ht="15.75" customHeight="1">
      <c r="B159" s="21"/>
      <c r="C159" s="21"/>
      <c r="D159" s="21"/>
    </row>
    <row r="160" ht="15.75" customHeight="1">
      <c r="B160" s="21"/>
      <c r="C160" s="21"/>
      <c r="D160" s="21"/>
    </row>
    <row r="161" ht="15.75" customHeight="1">
      <c r="B161" s="21"/>
      <c r="C161" s="21"/>
      <c r="D161" s="21"/>
    </row>
    <row r="162" ht="15.75" customHeight="1">
      <c r="B162" s="21"/>
      <c r="C162" s="21"/>
      <c r="D162" s="21"/>
    </row>
    <row r="163" ht="15.75" customHeight="1">
      <c r="B163" s="21"/>
      <c r="C163" s="21"/>
      <c r="D163" s="21"/>
    </row>
    <row r="164" ht="15.75" customHeight="1">
      <c r="B164" s="21"/>
      <c r="C164" s="21"/>
      <c r="D164" s="21"/>
    </row>
    <row r="165" ht="15.75" customHeight="1">
      <c r="B165" s="21"/>
      <c r="C165" s="21"/>
      <c r="D165" s="21"/>
    </row>
    <row r="166" ht="15.75" customHeight="1">
      <c r="B166" s="21"/>
      <c r="C166" s="21"/>
      <c r="D166" s="21"/>
    </row>
    <row r="167" ht="15.75" customHeight="1">
      <c r="B167" s="21"/>
      <c r="C167" s="21"/>
      <c r="D167" s="21"/>
    </row>
    <row r="168" ht="15.75" customHeight="1">
      <c r="B168" s="21"/>
      <c r="C168" s="21"/>
      <c r="D168" s="21"/>
    </row>
    <row r="169" ht="15.75" customHeight="1">
      <c r="B169" s="21"/>
      <c r="C169" s="21"/>
      <c r="D169" s="21"/>
    </row>
    <row r="170" ht="15.75" customHeight="1">
      <c r="B170" s="21"/>
      <c r="C170" s="21"/>
      <c r="D170" s="21"/>
    </row>
    <row r="171" ht="15.75" customHeight="1">
      <c r="B171" s="21"/>
      <c r="C171" s="21"/>
      <c r="D171" s="21"/>
    </row>
    <row r="172" ht="15.75" customHeight="1">
      <c r="B172" s="21"/>
      <c r="C172" s="21"/>
      <c r="D172" s="21"/>
    </row>
    <row r="173" ht="15.75" customHeight="1">
      <c r="B173" s="21"/>
      <c r="C173" s="21"/>
      <c r="D173" s="21"/>
    </row>
    <row r="174" ht="15.75" customHeight="1">
      <c r="B174" s="21"/>
      <c r="C174" s="21"/>
      <c r="D174" s="21"/>
    </row>
    <row r="175" ht="15.75" customHeight="1">
      <c r="B175" s="21"/>
      <c r="C175" s="21"/>
      <c r="D175" s="21"/>
    </row>
    <row r="176" ht="15.75" customHeight="1">
      <c r="B176" s="21"/>
      <c r="C176" s="21"/>
      <c r="D176" s="21"/>
    </row>
    <row r="177" ht="15.75" customHeight="1">
      <c r="B177" s="21"/>
      <c r="C177" s="21"/>
      <c r="D177" s="21"/>
    </row>
    <row r="178" ht="15.75" customHeight="1">
      <c r="B178" s="21"/>
      <c r="C178" s="21"/>
      <c r="D178" s="21"/>
    </row>
    <row r="179" ht="15.75" customHeight="1">
      <c r="B179" s="21"/>
      <c r="C179" s="21"/>
      <c r="D179" s="21"/>
    </row>
    <row r="180" ht="15.75" customHeight="1">
      <c r="B180" s="21"/>
      <c r="C180" s="21"/>
      <c r="D180" s="21"/>
    </row>
    <row r="181" ht="15.75" customHeight="1">
      <c r="B181" s="21"/>
      <c r="C181" s="21"/>
      <c r="D181" s="21"/>
    </row>
    <row r="182" ht="15.75" customHeight="1">
      <c r="B182" s="21"/>
      <c r="C182" s="21"/>
      <c r="D182" s="21"/>
    </row>
    <row r="183" ht="15.75" customHeight="1">
      <c r="B183" s="21"/>
      <c r="C183" s="21"/>
      <c r="D183" s="21"/>
    </row>
    <row r="184" ht="15.75" customHeight="1">
      <c r="B184" s="21"/>
      <c r="C184" s="21"/>
      <c r="D184" s="21"/>
    </row>
    <row r="185" ht="15.75" customHeight="1">
      <c r="B185" s="21"/>
      <c r="C185" s="21"/>
      <c r="D185" s="21"/>
    </row>
    <row r="186" ht="15.75" customHeight="1">
      <c r="B186" s="21"/>
      <c r="C186" s="21"/>
      <c r="D186" s="21"/>
    </row>
    <row r="187" ht="15.75" customHeight="1">
      <c r="B187" s="21"/>
      <c r="C187" s="21"/>
      <c r="D187" s="21"/>
    </row>
    <row r="188" ht="15.75" customHeight="1">
      <c r="B188" s="21"/>
      <c r="C188" s="21"/>
      <c r="D188" s="21"/>
    </row>
    <row r="189" ht="15.75" customHeight="1">
      <c r="B189" s="21"/>
      <c r="C189" s="21"/>
      <c r="D189" s="21"/>
    </row>
    <row r="190" ht="15.75" customHeight="1">
      <c r="B190" s="21"/>
      <c r="C190" s="21"/>
      <c r="D190" s="21"/>
    </row>
    <row r="191" ht="15.75" customHeight="1">
      <c r="B191" s="21"/>
      <c r="C191" s="21"/>
      <c r="D191" s="21"/>
    </row>
    <row r="192" ht="15.75" customHeight="1">
      <c r="B192" s="21"/>
      <c r="C192" s="21"/>
      <c r="D192" s="21"/>
    </row>
    <row r="193" ht="15.75" customHeight="1">
      <c r="B193" s="21"/>
      <c r="C193" s="21"/>
      <c r="D193" s="21"/>
    </row>
    <row r="194" ht="15.75" customHeight="1">
      <c r="B194" s="21"/>
      <c r="C194" s="21"/>
      <c r="D194" s="21"/>
    </row>
    <row r="195" ht="15.75" customHeight="1">
      <c r="B195" s="21"/>
      <c r="C195" s="21"/>
      <c r="D195" s="21"/>
    </row>
    <row r="196" ht="15.75" customHeight="1">
      <c r="B196" s="21"/>
      <c r="C196" s="21"/>
      <c r="D196" s="21"/>
    </row>
    <row r="197" ht="15.75" customHeight="1">
      <c r="B197" s="21"/>
      <c r="C197" s="21"/>
      <c r="D197" s="21"/>
    </row>
    <row r="198" ht="15.75" customHeight="1">
      <c r="B198" s="21"/>
      <c r="C198" s="21"/>
      <c r="D198" s="21"/>
    </row>
    <row r="199" ht="15.75" customHeight="1">
      <c r="B199" s="21"/>
      <c r="C199" s="21"/>
      <c r="D199" s="21"/>
    </row>
    <row r="200" ht="15.75" customHeight="1">
      <c r="B200" s="21"/>
      <c r="C200" s="21"/>
      <c r="D200" s="21"/>
    </row>
    <row r="201" ht="15.75" customHeight="1">
      <c r="B201" s="21"/>
      <c r="C201" s="21"/>
      <c r="D201" s="21"/>
    </row>
    <row r="202" ht="15.75" customHeight="1">
      <c r="B202" s="21"/>
      <c r="C202" s="21"/>
      <c r="D202" s="21"/>
    </row>
    <row r="203" ht="15.75" customHeight="1">
      <c r="B203" s="21"/>
      <c r="C203" s="21"/>
      <c r="D203" s="21"/>
    </row>
    <row r="204" ht="15.75" customHeight="1">
      <c r="B204" s="21"/>
      <c r="C204" s="21"/>
      <c r="D204" s="21"/>
    </row>
    <row r="205" ht="15.75" customHeight="1">
      <c r="B205" s="21"/>
      <c r="C205" s="21"/>
      <c r="D205" s="21"/>
    </row>
    <row r="206" ht="15.75" customHeight="1">
      <c r="B206" s="21"/>
      <c r="C206" s="21"/>
      <c r="D206" s="21"/>
    </row>
    <row r="207" ht="15.75" customHeight="1">
      <c r="B207" s="21"/>
      <c r="C207" s="21"/>
      <c r="D207" s="21"/>
    </row>
    <row r="208" ht="15.75" customHeight="1">
      <c r="B208" s="21"/>
      <c r="C208" s="21"/>
      <c r="D208" s="21"/>
    </row>
    <row r="209" ht="15.75" customHeight="1">
      <c r="B209" s="21"/>
      <c r="C209" s="21"/>
      <c r="D209" s="21"/>
    </row>
    <row r="210" ht="15.75" customHeight="1">
      <c r="B210" s="21"/>
      <c r="C210" s="21"/>
      <c r="D210" s="21"/>
    </row>
    <row r="211" ht="15.75" customHeight="1">
      <c r="B211" s="21"/>
      <c r="C211" s="21"/>
      <c r="D211" s="21"/>
    </row>
    <row r="212" ht="15.75" customHeight="1">
      <c r="B212" s="21"/>
      <c r="C212" s="21"/>
      <c r="D212" s="21"/>
    </row>
    <row r="213" ht="15.75" customHeight="1">
      <c r="B213" s="21"/>
      <c r="C213" s="21"/>
      <c r="D213" s="21"/>
    </row>
    <row r="214" ht="15.75" customHeight="1">
      <c r="B214" s="21"/>
      <c r="C214" s="21"/>
      <c r="D214" s="21"/>
    </row>
    <row r="215" ht="15.75" customHeight="1">
      <c r="B215" s="21"/>
      <c r="C215" s="21"/>
      <c r="D215" s="21"/>
    </row>
    <row r="216" ht="15.75" customHeight="1">
      <c r="B216" s="21"/>
      <c r="C216" s="21"/>
      <c r="D216" s="21"/>
    </row>
    <row r="217" ht="15.75" customHeight="1">
      <c r="B217" s="21"/>
      <c r="C217" s="21"/>
      <c r="D217" s="21"/>
    </row>
    <row r="218" ht="15.75" customHeight="1">
      <c r="B218" s="21"/>
      <c r="C218" s="21"/>
      <c r="D218" s="21"/>
    </row>
    <row r="219" ht="15.75" customHeight="1">
      <c r="B219" s="21"/>
      <c r="C219" s="21"/>
      <c r="D219" s="21"/>
    </row>
    <row r="220" ht="15.75" customHeight="1">
      <c r="B220" s="21"/>
      <c r="C220" s="21"/>
      <c r="D220" s="21"/>
    </row>
    <row r="221" ht="15.75" customHeight="1">
      <c r="B221" s="21"/>
      <c r="C221" s="21"/>
      <c r="D221" s="21"/>
    </row>
    <row r="222" ht="15.75" customHeight="1">
      <c r="B222" s="21"/>
      <c r="C222" s="21"/>
      <c r="D222" s="21"/>
    </row>
    <row r="223" ht="15.75" customHeight="1">
      <c r="B223" s="21"/>
      <c r="C223" s="21"/>
      <c r="D223" s="21"/>
    </row>
    <row r="224" ht="15.75" customHeight="1">
      <c r="B224" s="21"/>
      <c r="C224" s="21"/>
      <c r="D224" s="21"/>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E2:AA16">
    <cfRule type="cellIs" dxfId="0" priority="1" operator="equal">
      <formula>"TRUE"</formula>
    </cfRule>
  </conditionalFormatting>
  <conditionalFormatting sqref="I19">
    <cfRule type="notContainsBlanks" dxfId="5" priority="2">
      <formula>LEN(TRIM(I19))&gt;0</formula>
    </cfRule>
  </conditionalFormatting>
  <conditionalFormatting sqref="I19">
    <cfRule type="notContainsBlanks" dxfId="5" priority="3">
      <formula>LEN(TRIM(I19))&gt;0</formula>
    </cfRule>
  </conditionalFormatting>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2.63" defaultRowHeight="15.0"/>
  <cols>
    <col customWidth="1" min="1" max="1" width="12.63"/>
    <col customWidth="1" min="2" max="2" width="7.25"/>
    <col customWidth="1" min="3" max="4" width="7.38"/>
    <col customWidth="1" min="5" max="6" width="12.63"/>
  </cols>
  <sheetData>
    <row r="1" ht="15.75" customHeight="1">
      <c r="B1" s="10" t="s">
        <v>29</v>
      </c>
      <c r="C1" s="10" t="s">
        <v>30</v>
      </c>
      <c r="D1" s="21" t="s">
        <v>31</v>
      </c>
      <c r="E1" s="21" t="s">
        <v>103</v>
      </c>
      <c r="F1" s="21" t="s">
        <v>104</v>
      </c>
      <c r="G1" s="21" t="s">
        <v>105</v>
      </c>
      <c r="H1" s="21" t="s">
        <v>106</v>
      </c>
      <c r="I1" s="21" t="s">
        <v>107</v>
      </c>
      <c r="J1" s="21" t="s">
        <v>108</v>
      </c>
      <c r="K1" s="21" t="s">
        <v>109</v>
      </c>
      <c r="L1" s="21" t="s">
        <v>110</v>
      </c>
      <c r="M1" s="21" t="s">
        <v>111</v>
      </c>
      <c r="N1" s="21" t="s">
        <v>112</v>
      </c>
      <c r="O1" s="21" t="s">
        <v>113</v>
      </c>
      <c r="P1" s="21" t="s">
        <v>114</v>
      </c>
      <c r="Q1" s="21" t="s">
        <v>115</v>
      </c>
      <c r="R1" s="24" t="s">
        <v>116</v>
      </c>
      <c r="S1" s="24" t="s">
        <v>117</v>
      </c>
      <c r="T1" s="24" t="s">
        <v>118</v>
      </c>
      <c r="U1" s="24" t="s">
        <v>119</v>
      </c>
      <c r="V1" s="24" t="s">
        <v>120</v>
      </c>
      <c r="W1" s="24" t="s">
        <v>121</v>
      </c>
      <c r="X1" s="24" t="s">
        <v>122</v>
      </c>
      <c r="Y1" s="24" t="s">
        <v>123</v>
      </c>
      <c r="Z1" s="24" t="s">
        <v>124</v>
      </c>
      <c r="AA1" s="25" t="s">
        <v>125</v>
      </c>
      <c r="AB1" s="25" t="s">
        <v>125</v>
      </c>
      <c r="AC1" s="25" t="s">
        <v>125</v>
      </c>
    </row>
    <row r="2" ht="15.75" customHeight="1">
      <c r="A2" s="26" t="s">
        <v>49</v>
      </c>
      <c r="B2" s="14">
        <f t="shared" ref="B2:B16" si="1">COUNTIF(E2:Q2, TRUE) / COUNTA(E2:Q2)</f>
        <v>0.2307692308</v>
      </c>
      <c r="C2" s="14">
        <f t="shared" ref="C2:C16" si="2">COUNTIF(E2:AC2, TRUE) / COUNTA(E2:AC2)</f>
        <v>0.16</v>
      </c>
      <c r="E2" s="21" t="b">
        <v>0</v>
      </c>
      <c r="F2" s="21" t="b">
        <v>1</v>
      </c>
      <c r="G2" s="21" t="b">
        <v>1</v>
      </c>
      <c r="H2" s="21" t="b">
        <v>0</v>
      </c>
      <c r="I2" s="21" t="b">
        <v>0</v>
      </c>
      <c r="J2" s="21" t="b">
        <v>0</v>
      </c>
      <c r="K2" s="21" t="b">
        <v>0</v>
      </c>
      <c r="L2" s="21" t="b">
        <v>0</v>
      </c>
      <c r="M2" s="21" t="b">
        <v>0</v>
      </c>
      <c r="N2" s="21" t="b">
        <v>0</v>
      </c>
      <c r="O2" s="21" t="b">
        <v>1</v>
      </c>
      <c r="P2" s="21" t="b">
        <v>0</v>
      </c>
      <c r="Q2" s="21" t="b">
        <v>0</v>
      </c>
      <c r="R2" s="21" t="b">
        <v>0</v>
      </c>
      <c r="S2" s="21" t="b">
        <v>1</v>
      </c>
      <c r="T2" s="21" t="b">
        <v>0</v>
      </c>
      <c r="U2" s="21" t="b">
        <v>0</v>
      </c>
      <c r="V2" s="21" t="b">
        <v>0</v>
      </c>
      <c r="W2" s="21" t="b">
        <v>0</v>
      </c>
      <c r="X2" s="21" t="b">
        <v>0</v>
      </c>
      <c r="Y2" s="21" t="b">
        <v>0</v>
      </c>
      <c r="Z2" s="21" t="b">
        <v>0</v>
      </c>
      <c r="AA2" s="21" t="b">
        <v>0</v>
      </c>
      <c r="AB2" s="21" t="b">
        <v>0</v>
      </c>
      <c r="AC2" s="21" t="b">
        <v>0</v>
      </c>
    </row>
    <row r="3" ht="15.75" customHeight="1">
      <c r="A3" s="26" t="s">
        <v>50</v>
      </c>
      <c r="B3" s="14">
        <f t="shared" si="1"/>
        <v>0.3076923077</v>
      </c>
      <c r="C3" s="14">
        <f t="shared" si="2"/>
        <v>0.2</v>
      </c>
      <c r="E3" s="21" t="b">
        <v>0</v>
      </c>
      <c r="F3" s="21" t="b">
        <v>0</v>
      </c>
      <c r="G3" s="21" t="b">
        <v>1</v>
      </c>
      <c r="H3" s="21" t="b">
        <v>0</v>
      </c>
      <c r="I3" s="21" t="b">
        <v>0</v>
      </c>
      <c r="J3" s="21" t="b">
        <v>0</v>
      </c>
      <c r="K3" s="21" t="b">
        <v>0</v>
      </c>
      <c r="L3" s="21" t="b">
        <v>0</v>
      </c>
      <c r="M3" s="21" t="b">
        <v>1</v>
      </c>
      <c r="N3" s="21" t="b">
        <v>0</v>
      </c>
      <c r="O3" s="21" t="b">
        <v>1</v>
      </c>
      <c r="P3" s="21" t="b">
        <v>1</v>
      </c>
      <c r="Q3" s="21" t="b">
        <v>0</v>
      </c>
      <c r="R3" s="21" t="b">
        <v>0</v>
      </c>
      <c r="S3" s="21" t="b">
        <v>1</v>
      </c>
      <c r="T3" s="21" t="b">
        <v>0</v>
      </c>
      <c r="U3" s="21" t="b">
        <v>0</v>
      </c>
      <c r="V3" s="21" t="b">
        <v>0</v>
      </c>
      <c r="W3" s="21" t="b">
        <v>0</v>
      </c>
      <c r="X3" s="21" t="b">
        <v>0</v>
      </c>
      <c r="Y3" s="21" t="b">
        <v>0</v>
      </c>
      <c r="Z3" s="21" t="b">
        <v>0</v>
      </c>
      <c r="AA3" s="21" t="b">
        <v>0</v>
      </c>
      <c r="AB3" s="21" t="b">
        <v>0</v>
      </c>
      <c r="AC3" s="21" t="b">
        <v>0</v>
      </c>
    </row>
    <row r="4" ht="15.75" customHeight="1">
      <c r="A4" s="26" t="s">
        <v>51</v>
      </c>
      <c r="B4" s="14">
        <f t="shared" si="1"/>
        <v>0.3076923077</v>
      </c>
      <c r="C4" s="14">
        <f t="shared" si="2"/>
        <v>0.2</v>
      </c>
      <c r="E4" s="21" t="b">
        <v>0</v>
      </c>
      <c r="F4" s="21" t="b">
        <v>1</v>
      </c>
      <c r="G4" s="21" t="b">
        <v>0</v>
      </c>
      <c r="H4" s="21" t="b">
        <v>0</v>
      </c>
      <c r="I4" s="21" t="b">
        <v>0</v>
      </c>
      <c r="J4" s="21" t="b">
        <v>0</v>
      </c>
      <c r="K4" s="21" t="b">
        <v>0</v>
      </c>
      <c r="L4" s="21" t="b">
        <v>0</v>
      </c>
      <c r="M4" s="21" t="b">
        <v>0</v>
      </c>
      <c r="N4" s="21" t="b">
        <v>1</v>
      </c>
      <c r="O4" s="21" t="b">
        <v>1</v>
      </c>
      <c r="P4" s="21" t="b">
        <v>0</v>
      </c>
      <c r="Q4" s="21" t="b">
        <v>1</v>
      </c>
      <c r="R4" s="21" t="b">
        <v>0</v>
      </c>
      <c r="S4" s="21" t="b">
        <v>1</v>
      </c>
      <c r="T4" s="21" t="b">
        <v>0</v>
      </c>
      <c r="U4" s="21" t="b">
        <v>0</v>
      </c>
      <c r="V4" s="21" t="b">
        <v>0</v>
      </c>
      <c r="W4" s="21" t="b">
        <v>0</v>
      </c>
      <c r="X4" s="21" t="b">
        <v>0</v>
      </c>
      <c r="Y4" s="21" t="b">
        <v>0</v>
      </c>
      <c r="Z4" s="21" t="b">
        <v>0</v>
      </c>
      <c r="AA4" s="21" t="b">
        <v>0</v>
      </c>
      <c r="AB4" s="21" t="b">
        <v>0</v>
      </c>
      <c r="AC4" s="21" t="b">
        <v>0</v>
      </c>
    </row>
    <row r="5" ht="15.75" customHeight="1">
      <c r="A5" s="26" t="s">
        <v>52</v>
      </c>
      <c r="B5" s="14">
        <f t="shared" si="1"/>
        <v>0.3076923077</v>
      </c>
      <c r="C5" s="14">
        <f t="shared" si="2"/>
        <v>0.2</v>
      </c>
      <c r="E5" s="21" t="b">
        <v>0</v>
      </c>
      <c r="F5" s="21" t="b">
        <v>1</v>
      </c>
      <c r="G5" s="21" t="b">
        <v>1</v>
      </c>
      <c r="H5" s="21" t="b">
        <v>0</v>
      </c>
      <c r="I5" s="21" t="b">
        <v>0</v>
      </c>
      <c r="J5" s="21" t="b">
        <v>0</v>
      </c>
      <c r="K5" s="21" t="b">
        <v>0</v>
      </c>
      <c r="L5" s="21" t="b">
        <v>0</v>
      </c>
      <c r="M5" s="21" t="b">
        <v>0</v>
      </c>
      <c r="N5" s="21" t="b">
        <v>0</v>
      </c>
      <c r="O5" s="21" t="b">
        <v>1</v>
      </c>
      <c r="P5" s="21" t="b">
        <v>0</v>
      </c>
      <c r="Q5" s="21" t="b">
        <v>1</v>
      </c>
      <c r="R5" s="21" t="b">
        <v>0</v>
      </c>
      <c r="S5" s="21" t="b">
        <v>1</v>
      </c>
      <c r="T5" s="21" t="b">
        <v>0</v>
      </c>
      <c r="U5" s="21" t="b">
        <v>0</v>
      </c>
      <c r="V5" s="21" t="b">
        <v>0</v>
      </c>
      <c r="W5" s="21" t="b">
        <v>0</v>
      </c>
      <c r="X5" s="21" t="b">
        <v>0</v>
      </c>
      <c r="Y5" s="21" t="b">
        <v>0</v>
      </c>
      <c r="Z5" s="21" t="b">
        <v>0</v>
      </c>
      <c r="AA5" s="21" t="b">
        <v>0</v>
      </c>
      <c r="AB5" s="21" t="b">
        <v>0</v>
      </c>
      <c r="AC5" s="21" t="b">
        <v>0</v>
      </c>
    </row>
    <row r="6" ht="15.75" customHeight="1">
      <c r="A6" s="26" t="s">
        <v>53</v>
      </c>
      <c r="B6" s="14">
        <f t="shared" si="1"/>
        <v>0.1538461538</v>
      </c>
      <c r="C6" s="14">
        <f t="shared" si="2"/>
        <v>0.12</v>
      </c>
      <c r="E6" s="21" t="b">
        <v>0</v>
      </c>
      <c r="F6" s="21" t="b">
        <v>0</v>
      </c>
      <c r="G6" s="21" t="b">
        <v>0</v>
      </c>
      <c r="H6" s="21" t="b">
        <v>0</v>
      </c>
      <c r="I6" s="21" t="b">
        <v>0</v>
      </c>
      <c r="J6" s="21" t="b">
        <v>0</v>
      </c>
      <c r="K6" s="21" t="b">
        <v>0</v>
      </c>
      <c r="L6" s="21" t="b">
        <v>0</v>
      </c>
      <c r="M6" s="21" t="b">
        <v>0</v>
      </c>
      <c r="N6" s="21" t="b">
        <v>0</v>
      </c>
      <c r="O6" s="21" t="b">
        <v>1</v>
      </c>
      <c r="P6" s="21" t="b">
        <v>0</v>
      </c>
      <c r="Q6" s="21" t="b">
        <v>1</v>
      </c>
      <c r="R6" s="21" t="b">
        <v>0</v>
      </c>
      <c r="S6" s="21" t="b">
        <v>1</v>
      </c>
      <c r="T6" s="21" t="b">
        <v>0</v>
      </c>
      <c r="U6" s="21" t="b">
        <v>0</v>
      </c>
      <c r="V6" s="21" t="b">
        <v>0</v>
      </c>
      <c r="W6" s="21" t="b">
        <v>0</v>
      </c>
      <c r="X6" s="21" t="b">
        <v>0</v>
      </c>
      <c r="Y6" s="21" t="b">
        <v>0</v>
      </c>
      <c r="Z6" s="21" t="b">
        <v>0</v>
      </c>
      <c r="AA6" s="21" t="b">
        <v>0</v>
      </c>
      <c r="AB6" s="21" t="b">
        <v>0</v>
      </c>
      <c r="AC6" s="21" t="b">
        <v>0</v>
      </c>
    </row>
    <row r="7" ht="15.75" customHeight="1">
      <c r="A7" s="26" t="s">
        <v>54</v>
      </c>
      <c r="B7" s="14">
        <f t="shared" si="1"/>
        <v>0.3846153846</v>
      </c>
      <c r="C7" s="14">
        <f t="shared" si="2"/>
        <v>0.2</v>
      </c>
      <c r="E7" s="21" t="b">
        <v>0</v>
      </c>
      <c r="F7" s="21" t="b">
        <v>1</v>
      </c>
      <c r="G7" s="21" t="b">
        <v>1</v>
      </c>
      <c r="H7" s="21" t="b">
        <v>0</v>
      </c>
      <c r="I7" s="21" t="b">
        <v>0</v>
      </c>
      <c r="J7" s="21" t="b">
        <v>0</v>
      </c>
      <c r="K7" s="21" t="b">
        <v>0</v>
      </c>
      <c r="L7" s="21" t="b">
        <v>0</v>
      </c>
      <c r="M7" s="21" t="b">
        <v>0</v>
      </c>
      <c r="N7" s="21" t="b">
        <v>0</v>
      </c>
      <c r="O7" s="21" t="b">
        <v>1</v>
      </c>
      <c r="P7" s="21" t="b">
        <v>1</v>
      </c>
      <c r="Q7" s="21" t="b">
        <v>1</v>
      </c>
      <c r="R7" s="21" t="b">
        <v>0</v>
      </c>
      <c r="S7" s="21" t="b">
        <v>0</v>
      </c>
      <c r="T7" s="21" t="b">
        <v>0</v>
      </c>
      <c r="U7" s="21" t="b">
        <v>0</v>
      </c>
      <c r="V7" s="21" t="b">
        <v>0</v>
      </c>
      <c r="W7" s="21" t="b">
        <v>0</v>
      </c>
      <c r="X7" s="21" t="b">
        <v>0</v>
      </c>
      <c r="Y7" s="21" t="b">
        <v>0</v>
      </c>
      <c r="Z7" s="21" t="b">
        <v>0</v>
      </c>
      <c r="AA7" s="21" t="b">
        <v>0</v>
      </c>
      <c r="AB7" s="21" t="b">
        <v>0</v>
      </c>
      <c r="AC7" s="21" t="b">
        <v>0</v>
      </c>
    </row>
    <row r="8" ht="15.75" customHeight="1">
      <c r="A8" s="26" t="s">
        <v>55</v>
      </c>
      <c r="B8" s="14">
        <f t="shared" si="1"/>
        <v>0.3846153846</v>
      </c>
      <c r="C8" s="14">
        <f t="shared" si="2"/>
        <v>0.24</v>
      </c>
      <c r="E8" s="21" t="b">
        <v>0</v>
      </c>
      <c r="F8" s="21" t="b">
        <v>1</v>
      </c>
      <c r="G8" s="21" t="b">
        <v>1</v>
      </c>
      <c r="H8" s="21" t="b">
        <v>0</v>
      </c>
      <c r="I8" s="21" t="b">
        <v>0</v>
      </c>
      <c r="J8" s="21" t="b">
        <v>0</v>
      </c>
      <c r="K8" s="21" t="b">
        <v>0</v>
      </c>
      <c r="L8" s="21" t="b">
        <v>0</v>
      </c>
      <c r="M8" s="21" t="b">
        <v>1</v>
      </c>
      <c r="N8" s="21" t="b">
        <v>0</v>
      </c>
      <c r="O8" s="21" t="b">
        <v>1</v>
      </c>
      <c r="P8" s="21" t="b">
        <v>1</v>
      </c>
      <c r="Q8" s="21" t="b">
        <v>0</v>
      </c>
      <c r="R8" s="21" t="b">
        <v>0</v>
      </c>
      <c r="S8" s="21" t="b">
        <v>1</v>
      </c>
      <c r="T8" s="21" t="b">
        <v>0</v>
      </c>
      <c r="U8" s="21" t="b">
        <v>0</v>
      </c>
      <c r="V8" s="21" t="b">
        <v>0</v>
      </c>
      <c r="W8" s="21" t="b">
        <v>0</v>
      </c>
      <c r="X8" s="21" t="b">
        <v>0</v>
      </c>
      <c r="Y8" s="21" t="b">
        <v>0</v>
      </c>
      <c r="Z8" s="21" t="b">
        <v>0</v>
      </c>
      <c r="AA8" s="21" t="b">
        <v>0</v>
      </c>
      <c r="AB8" s="21" t="b">
        <v>0</v>
      </c>
      <c r="AC8" s="21" t="b">
        <v>0</v>
      </c>
    </row>
    <row r="9" ht="15.75" customHeight="1">
      <c r="A9" s="26" t="s">
        <v>56</v>
      </c>
      <c r="B9" s="14">
        <f t="shared" si="1"/>
        <v>0.2307692308</v>
      </c>
      <c r="C9" s="14">
        <f t="shared" si="2"/>
        <v>0.12</v>
      </c>
      <c r="E9" s="21" t="b">
        <v>1</v>
      </c>
      <c r="F9" s="21" t="b">
        <v>0</v>
      </c>
      <c r="G9" s="21" t="b">
        <v>0</v>
      </c>
      <c r="H9" s="21" t="b">
        <v>0</v>
      </c>
      <c r="I9" s="21" t="b">
        <v>0</v>
      </c>
      <c r="J9" s="21" t="b">
        <v>0</v>
      </c>
      <c r="K9" s="21" t="b">
        <v>0</v>
      </c>
      <c r="L9" s="21" t="b">
        <v>0</v>
      </c>
      <c r="M9" s="21" t="b">
        <v>0</v>
      </c>
      <c r="N9" s="21" t="b">
        <v>1</v>
      </c>
      <c r="O9" s="21" t="b">
        <v>0</v>
      </c>
      <c r="P9" s="21" t="b">
        <v>0</v>
      </c>
      <c r="Q9" s="21" t="b">
        <v>1</v>
      </c>
      <c r="R9" s="21" t="b">
        <v>0</v>
      </c>
      <c r="S9" s="21" t="b">
        <v>0</v>
      </c>
      <c r="T9" s="21" t="b">
        <v>0</v>
      </c>
      <c r="U9" s="21" t="b">
        <v>0</v>
      </c>
      <c r="V9" s="21" t="b">
        <v>0</v>
      </c>
      <c r="W9" s="21" t="b">
        <v>0</v>
      </c>
      <c r="X9" s="21" t="b">
        <v>0</v>
      </c>
      <c r="Y9" s="21" t="b">
        <v>0</v>
      </c>
      <c r="Z9" s="21" t="b">
        <v>0</v>
      </c>
      <c r="AA9" s="21" t="b">
        <v>0</v>
      </c>
      <c r="AB9" s="21" t="b">
        <v>0</v>
      </c>
      <c r="AC9" s="21" t="b">
        <v>0</v>
      </c>
    </row>
    <row r="10" ht="15.75" customHeight="1">
      <c r="A10" s="26" t="s">
        <v>57</v>
      </c>
      <c r="B10" s="14">
        <f t="shared" si="1"/>
        <v>0.2307692308</v>
      </c>
      <c r="C10" s="14">
        <f t="shared" si="2"/>
        <v>0.12</v>
      </c>
      <c r="E10" s="21" t="b">
        <v>1</v>
      </c>
      <c r="F10" s="21" t="b">
        <v>0</v>
      </c>
      <c r="G10" s="21" t="b">
        <v>0</v>
      </c>
      <c r="H10" s="21" t="b">
        <v>0</v>
      </c>
      <c r="I10" s="21" t="b">
        <v>0</v>
      </c>
      <c r="J10" s="21" t="b">
        <v>0</v>
      </c>
      <c r="K10" s="21" t="b">
        <v>0</v>
      </c>
      <c r="L10" s="21" t="b">
        <v>0</v>
      </c>
      <c r="M10" s="21" t="b">
        <v>0</v>
      </c>
      <c r="N10" s="21" t="b">
        <v>0</v>
      </c>
      <c r="O10" s="21" t="b">
        <v>1</v>
      </c>
      <c r="P10" s="21" t="b">
        <v>0</v>
      </c>
      <c r="Q10" s="21" t="b">
        <v>1</v>
      </c>
      <c r="R10" s="21" t="b">
        <v>0</v>
      </c>
      <c r="S10" s="21" t="b">
        <v>0</v>
      </c>
      <c r="T10" s="21" t="b">
        <v>0</v>
      </c>
      <c r="U10" s="21" t="b">
        <v>0</v>
      </c>
      <c r="V10" s="21" t="b">
        <v>0</v>
      </c>
      <c r="W10" s="21" t="b">
        <v>0</v>
      </c>
      <c r="X10" s="21" t="b">
        <v>0</v>
      </c>
      <c r="Y10" s="21" t="b">
        <v>0</v>
      </c>
      <c r="Z10" s="21" t="b">
        <v>0</v>
      </c>
      <c r="AA10" s="21" t="b">
        <v>0</v>
      </c>
      <c r="AB10" s="21" t="b">
        <v>0</v>
      </c>
      <c r="AC10" s="21" t="b">
        <v>0</v>
      </c>
    </row>
    <row r="11" ht="15.75" customHeight="1">
      <c r="A11" s="38" t="s">
        <v>58</v>
      </c>
      <c r="B11" s="14">
        <f t="shared" si="1"/>
        <v>0.1538461538</v>
      </c>
      <c r="C11" s="14">
        <f t="shared" si="2"/>
        <v>0.08</v>
      </c>
      <c r="E11" s="21" t="b">
        <v>0</v>
      </c>
      <c r="F11" s="21" t="b">
        <v>0</v>
      </c>
      <c r="G11" s="21" t="b">
        <v>0</v>
      </c>
      <c r="H11" s="21" t="b">
        <v>0</v>
      </c>
      <c r="I11" s="21" t="b">
        <v>0</v>
      </c>
      <c r="J11" s="21" t="b">
        <v>0</v>
      </c>
      <c r="K11" s="21" t="b">
        <v>0</v>
      </c>
      <c r="L11" s="21" t="b">
        <v>0</v>
      </c>
      <c r="M11" s="21" t="b">
        <v>0</v>
      </c>
      <c r="N11" s="21" t="b">
        <v>0</v>
      </c>
      <c r="O11" s="21" t="b">
        <v>1</v>
      </c>
      <c r="P11" s="21" t="b">
        <v>0</v>
      </c>
      <c r="Q11" s="21" t="b">
        <v>1</v>
      </c>
      <c r="R11" s="21" t="b">
        <v>0</v>
      </c>
      <c r="S11" s="21" t="b">
        <v>0</v>
      </c>
      <c r="T11" s="21" t="b">
        <v>0</v>
      </c>
      <c r="U11" s="21" t="b">
        <v>0</v>
      </c>
      <c r="V11" s="21" t="b">
        <v>0</v>
      </c>
      <c r="W11" s="21" t="b">
        <v>0</v>
      </c>
      <c r="X11" s="21" t="b">
        <v>0</v>
      </c>
      <c r="Y11" s="21" t="b">
        <v>0</v>
      </c>
      <c r="Z11" s="21" t="b">
        <v>0</v>
      </c>
      <c r="AA11" s="21" t="b">
        <v>0</v>
      </c>
      <c r="AB11" s="21" t="b">
        <v>0</v>
      </c>
      <c r="AC11" s="21" t="b">
        <v>0</v>
      </c>
    </row>
    <row r="12" ht="15.75" customHeight="1">
      <c r="A12" s="26" t="s">
        <v>59</v>
      </c>
      <c r="B12" s="14">
        <f t="shared" si="1"/>
        <v>0.5384615385</v>
      </c>
      <c r="C12" s="14">
        <f t="shared" si="2"/>
        <v>0.32</v>
      </c>
      <c r="E12" s="21" t="b">
        <v>0</v>
      </c>
      <c r="F12" s="21" t="b">
        <v>1</v>
      </c>
      <c r="G12" s="21" t="b">
        <v>1</v>
      </c>
      <c r="H12" s="21" t="b">
        <v>0</v>
      </c>
      <c r="I12" s="21" t="b">
        <v>0</v>
      </c>
      <c r="J12" s="21" t="b">
        <v>0</v>
      </c>
      <c r="K12" s="21" t="b">
        <v>0</v>
      </c>
      <c r="L12" s="21" t="b">
        <v>0</v>
      </c>
      <c r="M12" s="21" t="b">
        <v>1</v>
      </c>
      <c r="N12" s="21" t="b">
        <v>1</v>
      </c>
      <c r="O12" s="21" t="b">
        <v>1</v>
      </c>
      <c r="P12" s="21" t="b">
        <v>1</v>
      </c>
      <c r="Q12" s="21" t="b">
        <v>1</v>
      </c>
      <c r="R12" s="21" t="b">
        <v>0</v>
      </c>
      <c r="S12" s="21" t="b">
        <v>1</v>
      </c>
      <c r="T12" s="21" t="b">
        <v>0</v>
      </c>
      <c r="U12" s="21" t="b">
        <v>0</v>
      </c>
      <c r="V12" s="21" t="b">
        <v>0</v>
      </c>
      <c r="W12" s="21" t="b">
        <v>0</v>
      </c>
      <c r="X12" s="21" t="b">
        <v>0</v>
      </c>
      <c r="Y12" s="21" t="b">
        <v>0</v>
      </c>
      <c r="Z12" s="21" t="b">
        <v>0</v>
      </c>
      <c r="AA12" s="21" t="b">
        <v>0</v>
      </c>
      <c r="AB12" s="21" t="b">
        <v>0</v>
      </c>
      <c r="AC12" s="21" t="b">
        <v>0</v>
      </c>
    </row>
    <row r="13" ht="15.75" customHeight="1">
      <c r="A13" s="26" t="s">
        <v>60</v>
      </c>
      <c r="B13" s="14">
        <f t="shared" si="1"/>
        <v>0.07692307692</v>
      </c>
      <c r="C13" s="14">
        <f t="shared" si="2"/>
        <v>0.04</v>
      </c>
      <c r="E13" s="21" t="b">
        <v>0</v>
      </c>
      <c r="F13" s="21" t="b">
        <v>0</v>
      </c>
      <c r="G13" s="21" t="b">
        <v>0</v>
      </c>
      <c r="H13" s="21" t="b">
        <v>0</v>
      </c>
      <c r="I13" s="21" t="b">
        <v>0</v>
      </c>
      <c r="J13" s="21" t="b">
        <v>0</v>
      </c>
      <c r="K13" s="21" t="b">
        <v>0</v>
      </c>
      <c r="L13" s="21" t="b">
        <v>0</v>
      </c>
      <c r="M13" s="21" t="b">
        <v>0</v>
      </c>
      <c r="N13" s="21" t="b">
        <v>0</v>
      </c>
      <c r="O13" s="21" t="b">
        <v>1</v>
      </c>
      <c r="P13" s="21" t="b">
        <v>0</v>
      </c>
      <c r="Q13" s="21" t="b">
        <v>0</v>
      </c>
      <c r="R13" s="21" t="b">
        <v>0</v>
      </c>
      <c r="S13" s="21" t="b">
        <v>0</v>
      </c>
      <c r="T13" s="21" t="b">
        <v>0</v>
      </c>
      <c r="U13" s="21" t="b">
        <v>0</v>
      </c>
      <c r="V13" s="21" t="b">
        <v>0</v>
      </c>
      <c r="W13" s="21" t="b">
        <v>0</v>
      </c>
      <c r="X13" s="21" t="b">
        <v>0</v>
      </c>
      <c r="Y13" s="21" t="b">
        <v>0</v>
      </c>
      <c r="Z13" s="21" t="b">
        <v>0</v>
      </c>
      <c r="AA13" s="21" t="b">
        <v>0</v>
      </c>
      <c r="AB13" s="21" t="b">
        <v>0</v>
      </c>
      <c r="AC13" s="21" t="b">
        <v>0</v>
      </c>
    </row>
    <row r="14" ht="15.75" customHeight="1">
      <c r="A14" s="26" t="s">
        <v>61</v>
      </c>
      <c r="B14" s="14">
        <f t="shared" si="1"/>
        <v>0.4615384615</v>
      </c>
      <c r="C14" s="14">
        <f t="shared" si="2"/>
        <v>0.28</v>
      </c>
      <c r="E14" s="21" t="b">
        <v>0</v>
      </c>
      <c r="F14" s="21" t="b">
        <v>1</v>
      </c>
      <c r="G14" s="21" t="b">
        <v>1</v>
      </c>
      <c r="H14" s="21" t="b">
        <v>0</v>
      </c>
      <c r="I14" s="21" t="b">
        <v>0</v>
      </c>
      <c r="J14" s="21" t="b">
        <v>0</v>
      </c>
      <c r="K14" s="21" t="b">
        <v>0</v>
      </c>
      <c r="L14" s="21" t="b">
        <v>0</v>
      </c>
      <c r="M14" s="21" t="b">
        <v>0</v>
      </c>
      <c r="N14" s="21" t="b">
        <v>1</v>
      </c>
      <c r="O14" s="21" t="b">
        <v>1</v>
      </c>
      <c r="P14" s="21" t="b">
        <v>1</v>
      </c>
      <c r="Q14" s="21" t="b">
        <v>1</v>
      </c>
      <c r="R14" s="21" t="b">
        <v>0</v>
      </c>
      <c r="S14" s="21" t="b">
        <v>1</v>
      </c>
      <c r="T14" s="21" t="b">
        <v>0</v>
      </c>
      <c r="U14" s="21" t="b">
        <v>0</v>
      </c>
      <c r="V14" s="21" t="b">
        <v>0</v>
      </c>
      <c r="W14" s="21" t="b">
        <v>0</v>
      </c>
      <c r="X14" s="21" t="b">
        <v>0</v>
      </c>
      <c r="Y14" s="21" t="b">
        <v>0</v>
      </c>
      <c r="Z14" s="21" t="b">
        <v>0</v>
      </c>
      <c r="AA14" s="21" t="b">
        <v>0</v>
      </c>
      <c r="AB14" s="21" t="b">
        <v>0</v>
      </c>
      <c r="AC14" s="21" t="b">
        <v>0</v>
      </c>
    </row>
    <row r="15" ht="15.75" customHeight="1">
      <c r="A15" s="26" t="s">
        <v>62</v>
      </c>
      <c r="B15" s="14">
        <f t="shared" si="1"/>
        <v>0.3846153846</v>
      </c>
      <c r="C15" s="14">
        <f t="shared" si="2"/>
        <v>0.2</v>
      </c>
      <c r="E15" s="21" t="b">
        <v>0</v>
      </c>
      <c r="F15" s="21" t="b">
        <v>1</v>
      </c>
      <c r="G15" s="21" t="b">
        <v>1</v>
      </c>
      <c r="H15" s="21" t="b">
        <v>0</v>
      </c>
      <c r="I15" s="21" t="b">
        <v>0</v>
      </c>
      <c r="J15" s="21" t="b">
        <v>0</v>
      </c>
      <c r="K15" s="21" t="b">
        <v>0</v>
      </c>
      <c r="L15" s="21" t="b">
        <v>0</v>
      </c>
      <c r="M15" s="21" t="b">
        <v>1</v>
      </c>
      <c r="N15" s="21" t="b">
        <v>0</v>
      </c>
      <c r="O15" s="21" t="b">
        <v>1</v>
      </c>
      <c r="P15" s="21" t="b">
        <v>0</v>
      </c>
      <c r="Q15" s="21" t="b">
        <v>1</v>
      </c>
      <c r="R15" s="21" t="b">
        <v>0</v>
      </c>
      <c r="S15" s="21" t="b">
        <v>0</v>
      </c>
      <c r="T15" s="21" t="b">
        <v>0</v>
      </c>
      <c r="U15" s="21" t="b">
        <v>0</v>
      </c>
      <c r="V15" s="21" t="b">
        <v>0</v>
      </c>
      <c r="W15" s="21" t="b">
        <v>0</v>
      </c>
      <c r="X15" s="21" t="b">
        <v>0</v>
      </c>
      <c r="Y15" s="21" t="b">
        <v>0</v>
      </c>
      <c r="Z15" s="21" t="b">
        <v>0</v>
      </c>
      <c r="AA15" s="21" t="b">
        <v>0</v>
      </c>
      <c r="AB15" s="21" t="b">
        <v>0</v>
      </c>
      <c r="AC15" s="21" t="b">
        <v>0</v>
      </c>
    </row>
    <row r="16" ht="15.75" customHeight="1">
      <c r="A16" s="26" t="s">
        <v>63</v>
      </c>
      <c r="B16" s="14">
        <f t="shared" si="1"/>
        <v>0.3076923077</v>
      </c>
      <c r="C16" s="14">
        <f t="shared" si="2"/>
        <v>0.16</v>
      </c>
      <c r="E16" s="21" t="b">
        <v>1</v>
      </c>
      <c r="F16" s="21" t="b">
        <v>1</v>
      </c>
      <c r="G16" s="21" t="b">
        <v>0</v>
      </c>
      <c r="H16" s="21" t="b">
        <v>0</v>
      </c>
      <c r="I16" s="21" t="b">
        <v>0</v>
      </c>
      <c r="J16" s="21" t="b">
        <v>0</v>
      </c>
      <c r="K16" s="21" t="b">
        <v>0</v>
      </c>
      <c r="L16" s="21" t="b">
        <v>0</v>
      </c>
      <c r="M16" s="21" t="b">
        <v>0</v>
      </c>
      <c r="N16" s="21" t="b">
        <v>0</v>
      </c>
      <c r="O16" s="21" t="b">
        <v>1</v>
      </c>
      <c r="P16" s="21" t="b">
        <v>1</v>
      </c>
      <c r="Q16" s="21" t="b">
        <v>0</v>
      </c>
      <c r="R16" s="21" t="b">
        <v>0</v>
      </c>
      <c r="S16" s="21" t="b">
        <v>0</v>
      </c>
      <c r="T16" s="21" t="b">
        <v>0</v>
      </c>
      <c r="U16" s="21" t="b">
        <v>0</v>
      </c>
      <c r="V16" s="21" t="b">
        <v>0</v>
      </c>
      <c r="W16" s="21" t="b">
        <v>0</v>
      </c>
      <c r="X16" s="21" t="b">
        <v>0</v>
      </c>
      <c r="Y16" s="21" t="b">
        <v>0</v>
      </c>
      <c r="Z16" s="21" t="b">
        <v>0</v>
      </c>
      <c r="AA16" s="21" t="b">
        <v>0</v>
      </c>
      <c r="AB16" s="21" t="b">
        <v>0</v>
      </c>
      <c r="AC16" s="21" t="b">
        <v>0</v>
      </c>
    </row>
    <row r="17" ht="15.75" customHeight="1">
      <c r="A17" s="10" t="s">
        <v>64</v>
      </c>
      <c r="B17" s="10">
        <v>13.0</v>
      </c>
      <c r="C17" s="10">
        <v>25.0</v>
      </c>
      <c r="E17" s="10">
        <f t="shared" ref="E17:AC17" si="3">COUNTIF(E2:E16, TRUE)</f>
        <v>3</v>
      </c>
      <c r="F17" s="10">
        <f t="shared" si="3"/>
        <v>9</v>
      </c>
      <c r="G17" s="10">
        <f t="shared" si="3"/>
        <v>8</v>
      </c>
      <c r="H17" s="10">
        <f t="shared" si="3"/>
        <v>0</v>
      </c>
      <c r="I17" s="10">
        <f t="shared" si="3"/>
        <v>0</v>
      </c>
      <c r="J17" s="10">
        <f t="shared" si="3"/>
        <v>0</v>
      </c>
      <c r="K17" s="10">
        <f t="shared" si="3"/>
        <v>0</v>
      </c>
      <c r="L17" s="10">
        <f t="shared" si="3"/>
        <v>0</v>
      </c>
      <c r="M17" s="10">
        <f t="shared" si="3"/>
        <v>4</v>
      </c>
      <c r="N17" s="10">
        <f t="shared" si="3"/>
        <v>4</v>
      </c>
      <c r="O17" s="10">
        <f t="shared" si="3"/>
        <v>14</v>
      </c>
      <c r="P17" s="10">
        <f t="shared" si="3"/>
        <v>6</v>
      </c>
      <c r="Q17" s="10">
        <f t="shared" si="3"/>
        <v>10</v>
      </c>
      <c r="R17" s="10">
        <f t="shared" si="3"/>
        <v>0</v>
      </c>
      <c r="S17" s="10">
        <f t="shared" si="3"/>
        <v>8</v>
      </c>
      <c r="T17" s="10">
        <f t="shared" si="3"/>
        <v>0</v>
      </c>
      <c r="U17" s="10">
        <f t="shared" si="3"/>
        <v>0</v>
      </c>
      <c r="V17" s="10">
        <f t="shared" si="3"/>
        <v>0</v>
      </c>
      <c r="W17" s="10">
        <f t="shared" si="3"/>
        <v>0</v>
      </c>
      <c r="X17" s="10">
        <f t="shared" si="3"/>
        <v>0</v>
      </c>
      <c r="Y17" s="10">
        <f t="shared" si="3"/>
        <v>0</v>
      </c>
      <c r="Z17" s="10">
        <f t="shared" si="3"/>
        <v>0</v>
      </c>
      <c r="AA17" s="10">
        <f t="shared" si="3"/>
        <v>0</v>
      </c>
      <c r="AB17" s="10">
        <f t="shared" si="3"/>
        <v>0</v>
      </c>
      <c r="AC17" s="10">
        <f t="shared" si="3"/>
        <v>0</v>
      </c>
    </row>
    <row r="18" ht="15.75" customHeight="1"/>
    <row r="19" ht="15.75" customHeight="1"/>
    <row r="20" ht="15.75" customHeight="1">
      <c r="E20" s="33" t="s">
        <v>65</v>
      </c>
    </row>
    <row r="21" ht="15.75" customHeight="1">
      <c r="B21" s="10"/>
      <c r="E21" s="34" t="s">
        <v>66</v>
      </c>
    </row>
    <row r="22" ht="15.75" customHeight="1">
      <c r="A22" s="10"/>
      <c r="B22" s="10"/>
      <c r="E22" s="36" t="s">
        <v>28</v>
      </c>
    </row>
    <row r="23" ht="15.75" customHeight="1">
      <c r="A23" s="10"/>
      <c r="E23" s="37" t="s">
        <v>68</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E2:AC16">
    <cfRule type="cellIs" dxfId="0" priority="1" operator="equal">
      <formula>"TRUE"</formula>
    </cfRule>
  </conditionalFormatting>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2.63" defaultRowHeight="15.0"/>
  <cols>
    <col customWidth="1" min="1" max="1" width="12.63"/>
    <col customWidth="1" min="2" max="4" width="7.38"/>
    <col customWidth="1" min="5" max="6" width="12.63"/>
  </cols>
  <sheetData>
    <row r="1" ht="15.75" customHeight="1">
      <c r="B1" s="10" t="s">
        <v>29</v>
      </c>
      <c r="C1" s="10" t="s">
        <v>30</v>
      </c>
      <c r="D1" s="10" t="s">
        <v>31</v>
      </c>
      <c r="E1" s="21" t="s">
        <v>126</v>
      </c>
      <c r="F1" s="21" t="s">
        <v>127</v>
      </c>
      <c r="G1" s="21" t="s">
        <v>128</v>
      </c>
      <c r="H1" s="21" t="s">
        <v>129</v>
      </c>
      <c r="I1" s="21" t="s">
        <v>130</v>
      </c>
      <c r="J1" s="21" t="s">
        <v>131</v>
      </c>
      <c r="K1" s="21" t="s">
        <v>132</v>
      </c>
      <c r="L1" s="21" t="s">
        <v>133</v>
      </c>
      <c r="M1" s="21" t="s">
        <v>134</v>
      </c>
      <c r="N1" s="21" t="s">
        <v>135</v>
      </c>
      <c r="O1" s="33" t="s">
        <v>136</v>
      </c>
      <c r="P1" s="33" t="s">
        <v>136</v>
      </c>
      <c r="Q1" s="33" t="s">
        <v>136</v>
      </c>
      <c r="R1" s="23" t="s">
        <v>41</v>
      </c>
      <c r="S1" s="23" t="s">
        <v>41</v>
      </c>
      <c r="T1" s="23" t="s">
        <v>41</v>
      </c>
      <c r="U1" s="23" t="s">
        <v>41</v>
      </c>
      <c r="V1" s="25" t="s">
        <v>137</v>
      </c>
      <c r="W1" s="25" t="s">
        <v>48</v>
      </c>
      <c r="X1" s="24" t="s">
        <v>138</v>
      </c>
      <c r="Y1" s="24" t="s">
        <v>139</v>
      </c>
      <c r="Z1" s="24" t="s">
        <v>140</v>
      </c>
      <c r="AA1" s="24" t="s">
        <v>141</v>
      </c>
      <c r="AB1" s="24" t="s">
        <v>142</v>
      </c>
    </row>
    <row r="2" ht="15.75" customHeight="1">
      <c r="A2" s="26" t="s">
        <v>49</v>
      </c>
      <c r="B2" s="14">
        <f t="shared" ref="B2:B16" si="1">COUNTIF(E2:U2, TRUE) / COUNTA(E2:U2)</f>
        <v>0.5294117647</v>
      </c>
      <c r="C2" s="14">
        <f t="shared" ref="C2:C16" si="2">COUNTIF(E2:AB2, TRUE) / COUNTA(E2:AB2)</f>
        <v>0.4166666667</v>
      </c>
      <c r="D2" s="14"/>
      <c r="E2" s="21" t="b">
        <v>1</v>
      </c>
      <c r="F2" s="21" t="b">
        <v>0</v>
      </c>
      <c r="G2" s="21" t="b">
        <v>0</v>
      </c>
      <c r="H2" s="21" t="b">
        <v>1</v>
      </c>
      <c r="I2" s="21" t="b">
        <v>0</v>
      </c>
      <c r="J2" s="21" t="b">
        <v>0</v>
      </c>
      <c r="K2" s="21" t="b">
        <v>1</v>
      </c>
      <c r="L2" s="21" t="b">
        <v>0</v>
      </c>
      <c r="M2" s="21" t="b">
        <v>1</v>
      </c>
      <c r="N2" s="21" t="b">
        <v>1</v>
      </c>
      <c r="O2" s="21" t="b">
        <v>0</v>
      </c>
      <c r="P2" s="21" t="b">
        <v>0</v>
      </c>
      <c r="Q2" s="21" t="b">
        <v>0</v>
      </c>
      <c r="R2" s="21" t="b">
        <v>1</v>
      </c>
      <c r="S2" s="21" t="b">
        <v>1</v>
      </c>
      <c r="T2" s="21" t="b">
        <v>1</v>
      </c>
      <c r="U2" s="21" t="b">
        <v>1</v>
      </c>
      <c r="V2" s="21" t="b">
        <v>1</v>
      </c>
      <c r="W2" s="21" t="b">
        <v>0</v>
      </c>
      <c r="X2" s="21" t="b">
        <v>0</v>
      </c>
      <c r="Y2" s="21" t="b">
        <v>0</v>
      </c>
      <c r="Z2" s="21" t="b">
        <v>0</v>
      </c>
      <c r="AA2" s="21" t="b">
        <v>0</v>
      </c>
      <c r="AB2" s="21" t="b">
        <v>0</v>
      </c>
    </row>
    <row r="3" ht="15.75" customHeight="1">
      <c r="A3" s="26" t="s">
        <v>50</v>
      </c>
      <c r="B3" s="14">
        <f t="shared" si="1"/>
        <v>0.4705882353</v>
      </c>
      <c r="C3" s="14">
        <f t="shared" si="2"/>
        <v>0.375</v>
      </c>
      <c r="D3" s="14"/>
      <c r="E3" s="21" t="b">
        <v>0</v>
      </c>
      <c r="F3" s="21" t="b">
        <v>0</v>
      </c>
      <c r="G3" s="21" t="b">
        <v>0</v>
      </c>
      <c r="H3" s="21" t="b">
        <v>0</v>
      </c>
      <c r="I3" s="21" t="b">
        <v>0</v>
      </c>
      <c r="J3" s="21" t="b">
        <v>0</v>
      </c>
      <c r="K3" s="21" t="b">
        <v>1</v>
      </c>
      <c r="L3" s="21" t="b">
        <v>1</v>
      </c>
      <c r="M3" s="21" t="b">
        <v>1</v>
      </c>
      <c r="N3" s="21" t="b">
        <v>1</v>
      </c>
      <c r="O3" s="21" t="b">
        <v>0</v>
      </c>
      <c r="P3" s="21" t="b">
        <v>0</v>
      </c>
      <c r="Q3" s="21" t="b">
        <v>0</v>
      </c>
      <c r="R3" s="21" t="b">
        <v>1</v>
      </c>
      <c r="S3" s="21" t="b">
        <v>1</v>
      </c>
      <c r="T3" s="21" t="b">
        <v>1</v>
      </c>
      <c r="U3" s="21" t="b">
        <v>1</v>
      </c>
      <c r="V3" s="21" t="b">
        <v>1</v>
      </c>
      <c r="W3" s="21" t="b">
        <v>0</v>
      </c>
      <c r="X3" s="21" t="b">
        <v>0</v>
      </c>
      <c r="Y3" s="21" t="b">
        <v>0</v>
      </c>
      <c r="Z3" s="21" t="b">
        <v>0</v>
      </c>
      <c r="AA3" s="21" t="b">
        <v>0</v>
      </c>
      <c r="AB3" s="21" t="b">
        <v>0</v>
      </c>
    </row>
    <row r="4" ht="15.75" customHeight="1">
      <c r="A4" s="26" t="s">
        <v>51</v>
      </c>
      <c r="B4" s="14">
        <f t="shared" si="1"/>
        <v>0.7647058824</v>
      </c>
      <c r="C4" s="14">
        <f t="shared" si="2"/>
        <v>0.625</v>
      </c>
      <c r="D4" s="14"/>
      <c r="E4" s="21" t="b">
        <v>0</v>
      </c>
      <c r="F4" s="21" t="b">
        <v>1</v>
      </c>
      <c r="G4" s="21" t="b">
        <v>1</v>
      </c>
      <c r="H4" s="21" t="b">
        <v>1</v>
      </c>
      <c r="I4" s="21" t="b">
        <v>0</v>
      </c>
      <c r="J4" s="21" t="b">
        <v>0</v>
      </c>
      <c r="K4" s="21" t="b">
        <v>1</v>
      </c>
      <c r="L4" s="21" t="b">
        <v>0</v>
      </c>
      <c r="M4" s="21" t="b">
        <v>1</v>
      </c>
      <c r="N4" s="21" t="b">
        <v>1</v>
      </c>
      <c r="O4" s="21" t="b">
        <v>1</v>
      </c>
      <c r="P4" s="21" t="b">
        <v>1</v>
      </c>
      <c r="Q4" s="21" t="b">
        <v>1</v>
      </c>
      <c r="R4" s="21" t="b">
        <v>1</v>
      </c>
      <c r="S4" s="21" t="b">
        <v>1</v>
      </c>
      <c r="T4" s="21" t="b">
        <v>1</v>
      </c>
      <c r="U4" s="21" t="b">
        <v>1</v>
      </c>
      <c r="V4" s="21" t="b">
        <v>1</v>
      </c>
      <c r="W4" s="21" t="b">
        <v>1</v>
      </c>
      <c r="X4" s="21" t="b">
        <v>0</v>
      </c>
      <c r="Y4" s="21" t="b">
        <v>0</v>
      </c>
      <c r="Z4" s="21" t="b">
        <v>0</v>
      </c>
      <c r="AA4" s="21" t="b">
        <v>0</v>
      </c>
      <c r="AB4" s="21" t="b">
        <v>0</v>
      </c>
    </row>
    <row r="5" ht="15.75" customHeight="1">
      <c r="A5" s="26" t="s">
        <v>52</v>
      </c>
      <c r="B5" s="14">
        <f t="shared" si="1"/>
        <v>0.7647058824</v>
      </c>
      <c r="C5" s="14">
        <f t="shared" si="2"/>
        <v>0.5833333333</v>
      </c>
      <c r="D5" s="14"/>
      <c r="E5" s="21" t="b">
        <v>0</v>
      </c>
      <c r="F5" s="21" t="b">
        <v>1</v>
      </c>
      <c r="G5" s="21" t="b">
        <v>1</v>
      </c>
      <c r="H5" s="21" t="b">
        <v>1</v>
      </c>
      <c r="I5" s="21" t="b">
        <v>0</v>
      </c>
      <c r="J5" s="21" t="b">
        <v>0</v>
      </c>
      <c r="K5" s="21" t="b">
        <v>1</v>
      </c>
      <c r="L5" s="21" t="b">
        <v>0</v>
      </c>
      <c r="M5" s="21" t="b">
        <v>1</v>
      </c>
      <c r="N5" s="21" t="b">
        <v>1</v>
      </c>
      <c r="O5" s="21" t="b">
        <v>1</v>
      </c>
      <c r="P5" s="21" t="b">
        <v>1</v>
      </c>
      <c r="Q5" s="21" t="b">
        <v>1</v>
      </c>
      <c r="R5" s="21" t="b">
        <v>1</v>
      </c>
      <c r="S5" s="21" t="b">
        <v>1</v>
      </c>
      <c r="T5" s="21" t="b">
        <v>1</v>
      </c>
      <c r="U5" s="21" t="b">
        <v>1</v>
      </c>
      <c r="V5" s="21" t="b">
        <v>1</v>
      </c>
      <c r="W5" s="21" t="b">
        <v>0</v>
      </c>
      <c r="X5" s="21" t="b">
        <v>0</v>
      </c>
      <c r="Y5" s="21" t="b">
        <v>0</v>
      </c>
      <c r="Z5" s="21" t="b">
        <v>0</v>
      </c>
      <c r="AA5" s="21" t="b">
        <v>0</v>
      </c>
      <c r="AB5" s="21" t="b">
        <v>0</v>
      </c>
    </row>
    <row r="6" ht="15.75" customHeight="1">
      <c r="A6" s="26" t="s">
        <v>53</v>
      </c>
      <c r="B6" s="14">
        <f t="shared" si="1"/>
        <v>0.4117647059</v>
      </c>
      <c r="C6" s="14">
        <f t="shared" si="2"/>
        <v>0.3333333333</v>
      </c>
      <c r="D6" s="14"/>
      <c r="E6" s="21" t="b">
        <v>0</v>
      </c>
      <c r="F6" s="21" t="b">
        <v>0</v>
      </c>
      <c r="G6" s="21" t="b">
        <v>0</v>
      </c>
      <c r="H6" s="21" t="b">
        <v>0</v>
      </c>
      <c r="I6" s="21" t="b">
        <v>0</v>
      </c>
      <c r="J6" s="21" t="b">
        <v>0</v>
      </c>
      <c r="K6" s="21" t="b">
        <v>1</v>
      </c>
      <c r="L6" s="21" t="b">
        <v>0</v>
      </c>
      <c r="M6" s="21" t="b">
        <v>1</v>
      </c>
      <c r="N6" s="21" t="b">
        <v>1</v>
      </c>
      <c r="O6" s="21" t="b">
        <v>0</v>
      </c>
      <c r="P6" s="21" t="b">
        <v>0</v>
      </c>
      <c r="Q6" s="21" t="b">
        <v>0</v>
      </c>
      <c r="R6" s="21" t="b">
        <v>1</v>
      </c>
      <c r="S6" s="21" t="b">
        <v>1</v>
      </c>
      <c r="T6" s="21" t="b">
        <v>1</v>
      </c>
      <c r="U6" s="21" t="b">
        <v>1</v>
      </c>
      <c r="V6" s="21" t="b">
        <v>1</v>
      </c>
      <c r="W6" s="21" t="b">
        <v>0</v>
      </c>
      <c r="X6" s="21" t="b">
        <v>0</v>
      </c>
      <c r="Y6" s="21" t="b">
        <v>0</v>
      </c>
      <c r="Z6" s="21" t="b">
        <v>0</v>
      </c>
      <c r="AA6" s="21" t="b">
        <v>0</v>
      </c>
      <c r="AB6" s="21" t="b">
        <v>0</v>
      </c>
    </row>
    <row r="7" ht="15.75" customHeight="1">
      <c r="A7" s="26" t="s">
        <v>54</v>
      </c>
      <c r="B7" s="14">
        <f t="shared" si="1"/>
        <v>0.4117647059</v>
      </c>
      <c r="C7" s="14">
        <f t="shared" si="2"/>
        <v>0.3333333333</v>
      </c>
      <c r="D7" s="14"/>
      <c r="E7" s="21" t="b">
        <v>0</v>
      </c>
      <c r="F7" s="21" t="b">
        <v>0</v>
      </c>
      <c r="G7" s="21" t="b">
        <v>0</v>
      </c>
      <c r="H7" s="21" t="b">
        <v>0</v>
      </c>
      <c r="I7" s="21" t="b">
        <v>0</v>
      </c>
      <c r="J7" s="21" t="b">
        <v>0</v>
      </c>
      <c r="K7" s="21" t="b">
        <v>1</v>
      </c>
      <c r="L7" s="21" t="b">
        <v>0</v>
      </c>
      <c r="M7" s="21" t="b">
        <v>1</v>
      </c>
      <c r="N7" s="21" t="b">
        <v>1</v>
      </c>
      <c r="O7" s="21" t="b">
        <v>0</v>
      </c>
      <c r="P7" s="21" t="b">
        <v>0</v>
      </c>
      <c r="Q7" s="21" t="b">
        <v>0</v>
      </c>
      <c r="R7" s="21" t="b">
        <v>1</v>
      </c>
      <c r="S7" s="21" t="b">
        <v>1</v>
      </c>
      <c r="T7" s="21" t="b">
        <v>1</v>
      </c>
      <c r="U7" s="21" t="b">
        <v>1</v>
      </c>
      <c r="V7" s="21" t="b">
        <v>1</v>
      </c>
      <c r="W7" s="21" t="b">
        <v>0</v>
      </c>
      <c r="X7" s="21" t="b">
        <v>0</v>
      </c>
      <c r="Y7" s="21" t="b">
        <v>0</v>
      </c>
      <c r="Z7" s="21" t="b">
        <v>0</v>
      </c>
      <c r="AA7" s="21" t="b">
        <v>0</v>
      </c>
      <c r="AB7" s="21" t="b">
        <v>0</v>
      </c>
    </row>
    <row r="8" ht="15.75" customHeight="1">
      <c r="A8" s="26" t="s">
        <v>55</v>
      </c>
      <c r="B8" s="14">
        <f t="shared" si="1"/>
        <v>0.4117647059</v>
      </c>
      <c r="C8" s="14">
        <f t="shared" si="2"/>
        <v>0.2916666667</v>
      </c>
      <c r="D8" s="14"/>
      <c r="E8" s="21" t="b">
        <v>0</v>
      </c>
      <c r="F8" s="21" t="b">
        <v>0</v>
      </c>
      <c r="G8" s="21" t="b">
        <v>0</v>
      </c>
      <c r="H8" s="21" t="b">
        <v>0</v>
      </c>
      <c r="I8" s="21" t="b">
        <v>0</v>
      </c>
      <c r="J8" s="21" t="b">
        <v>0</v>
      </c>
      <c r="K8" s="21" t="b">
        <v>1</v>
      </c>
      <c r="L8" s="21" t="b">
        <v>0</v>
      </c>
      <c r="M8" s="21" t="b">
        <v>1</v>
      </c>
      <c r="N8" s="21" t="b">
        <v>1</v>
      </c>
      <c r="O8" s="21" t="b">
        <v>0</v>
      </c>
      <c r="P8" s="21" t="b">
        <v>0</v>
      </c>
      <c r="Q8" s="21" t="b">
        <v>0</v>
      </c>
      <c r="R8" s="21" t="b">
        <v>1</v>
      </c>
      <c r="S8" s="21" t="b">
        <v>1</v>
      </c>
      <c r="T8" s="21" t="b">
        <v>1</v>
      </c>
      <c r="U8" s="21" t="b">
        <v>1</v>
      </c>
      <c r="V8" s="21" t="b">
        <v>0</v>
      </c>
      <c r="W8" s="21" t="b">
        <v>0</v>
      </c>
      <c r="X8" s="21" t="b">
        <v>0</v>
      </c>
      <c r="Y8" s="21" t="b">
        <v>0</v>
      </c>
      <c r="Z8" s="21" t="b">
        <v>0</v>
      </c>
      <c r="AA8" s="21" t="b">
        <v>0</v>
      </c>
      <c r="AB8" s="21" t="b">
        <v>0</v>
      </c>
    </row>
    <row r="9" ht="15.75" customHeight="1">
      <c r="A9" s="26" t="s">
        <v>56</v>
      </c>
      <c r="B9" s="14">
        <f t="shared" si="1"/>
        <v>0.7647058824</v>
      </c>
      <c r="C9" s="14">
        <f t="shared" si="2"/>
        <v>0.5833333333</v>
      </c>
      <c r="D9" s="14"/>
      <c r="E9" s="21" t="b">
        <v>1</v>
      </c>
      <c r="F9" s="21" t="b">
        <v>1</v>
      </c>
      <c r="G9" s="21" t="b">
        <v>1</v>
      </c>
      <c r="H9" s="21" t="b">
        <v>0</v>
      </c>
      <c r="I9" s="21" t="b">
        <v>1</v>
      </c>
      <c r="J9" s="21" t="b">
        <v>0</v>
      </c>
      <c r="K9" s="21" t="b">
        <v>1</v>
      </c>
      <c r="L9" s="21" t="b">
        <v>0</v>
      </c>
      <c r="M9" s="21" t="b">
        <v>1</v>
      </c>
      <c r="N9" s="21" t="b">
        <v>1</v>
      </c>
      <c r="O9" s="21" t="b">
        <v>1</v>
      </c>
      <c r="P9" s="21" t="b">
        <v>1</v>
      </c>
      <c r="Q9" s="21" t="b">
        <v>0</v>
      </c>
      <c r="R9" s="21" t="b">
        <v>1</v>
      </c>
      <c r="S9" s="21" t="b">
        <v>1</v>
      </c>
      <c r="T9" s="21" t="b">
        <v>1</v>
      </c>
      <c r="U9" s="21" t="b">
        <v>1</v>
      </c>
      <c r="V9" s="21" t="b">
        <v>1</v>
      </c>
      <c r="W9" s="21" t="b">
        <v>0</v>
      </c>
      <c r="X9" s="21" t="b">
        <v>0</v>
      </c>
      <c r="Y9" s="21" t="b">
        <v>0</v>
      </c>
      <c r="Z9" s="21" t="b">
        <v>0</v>
      </c>
      <c r="AA9" s="21" t="b">
        <v>0</v>
      </c>
      <c r="AB9" s="21" t="b">
        <v>0</v>
      </c>
    </row>
    <row r="10" ht="15.75" customHeight="1">
      <c r="A10" s="26" t="s">
        <v>57</v>
      </c>
      <c r="B10" s="14">
        <f t="shared" si="1"/>
        <v>0.6470588235</v>
      </c>
      <c r="C10" s="14">
        <f t="shared" si="2"/>
        <v>0.5</v>
      </c>
      <c r="D10" s="14"/>
      <c r="E10" s="21" t="b">
        <v>0</v>
      </c>
      <c r="F10" s="21" t="b">
        <v>1</v>
      </c>
      <c r="G10" s="21" t="b">
        <v>0</v>
      </c>
      <c r="H10" s="21" t="b">
        <v>0</v>
      </c>
      <c r="I10" s="21" t="b">
        <v>0</v>
      </c>
      <c r="J10" s="21" t="b">
        <v>0</v>
      </c>
      <c r="K10" s="21" t="b">
        <v>1</v>
      </c>
      <c r="L10" s="21" t="b">
        <v>0</v>
      </c>
      <c r="M10" s="21" t="b">
        <v>1</v>
      </c>
      <c r="N10" s="21" t="b">
        <v>1</v>
      </c>
      <c r="O10" s="21" t="b">
        <v>1</v>
      </c>
      <c r="P10" s="21" t="b">
        <v>1</v>
      </c>
      <c r="Q10" s="21" t="b">
        <v>1</v>
      </c>
      <c r="R10" s="21" t="b">
        <v>1</v>
      </c>
      <c r="S10" s="21" t="b">
        <v>1</v>
      </c>
      <c r="T10" s="21" t="b">
        <v>1</v>
      </c>
      <c r="U10" s="21" t="b">
        <v>1</v>
      </c>
      <c r="V10" s="21" t="b">
        <v>1</v>
      </c>
      <c r="W10" s="21" t="b">
        <v>0</v>
      </c>
      <c r="X10" s="21" t="b">
        <v>0</v>
      </c>
      <c r="Y10" s="21" t="b">
        <v>0</v>
      </c>
      <c r="Z10" s="21" t="b">
        <v>0</v>
      </c>
      <c r="AA10" s="21" t="b">
        <v>0</v>
      </c>
      <c r="AB10" s="21" t="b">
        <v>0</v>
      </c>
    </row>
    <row r="11" ht="15.75" customHeight="1">
      <c r="A11" s="26" t="s">
        <v>58</v>
      </c>
      <c r="B11" s="14">
        <f t="shared" si="1"/>
        <v>0.4705882353</v>
      </c>
      <c r="C11" s="14">
        <f t="shared" si="2"/>
        <v>0.375</v>
      </c>
      <c r="D11" s="14"/>
      <c r="E11" s="21" t="b">
        <v>0</v>
      </c>
      <c r="F11" s="21" t="b">
        <v>0</v>
      </c>
      <c r="G11" s="21" t="b">
        <v>0</v>
      </c>
      <c r="H11" s="21" t="b">
        <v>0</v>
      </c>
      <c r="I11" s="21" t="b">
        <v>0</v>
      </c>
      <c r="J11" s="21" t="b">
        <v>0</v>
      </c>
      <c r="K11" s="21" t="b">
        <v>1</v>
      </c>
      <c r="L11" s="21" t="b">
        <v>0</v>
      </c>
      <c r="M11" s="21" t="b">
        <v>1</v>
      </c>
      <c r="N11" s="21" t="b">
        <v>1</v>
      </c>
      <c r="O11" s="21" t="b">
        <v>1</v>
      </c>
      <c r="P11" s="21" t="b">
        <v>0</v>
      </c>
      <c r="Q11" s="21" t="b">
        <v>0</v>
      </c>
      <c r="R11" s="21" t="b">
        <v>1</v>
      </c>
      <c r="S11" s="21" t="b">
        <v>1</v>
      </c>
      <c r="T11" s="21" t="b">
        <v>1</v>
      </c>
      <c r="U11" s="21" t="b">
        <v>1</v>
      </c>
      <c r="V11" s="21" t="b">
        <v>1</v>
      </c>
      <c r="W11" s="21" t="b">
        <v>0</v>
      </c>
      <c r="X11" s="21" t="b">
        <v>0</v>
      </c>
      <c r="Y11" s="21" t="b">
        <v>0</v>
      </c>
      <c r="Z11" s="21" t="b">
        <v>0</v>
      </c>
      <c r="AA11" s="21" t="b">
        <v>0</v>
      </c>
      <c r="AB11" s="21" t="b">
        <v>0</v>
      </c>
    </row>
    <row r="12" ht="15.75" customHeight="1">
      <c r="A12" s="26" t="s">
        <v>59</v>
      </c>
      <c r="B12" s="14">
        <f t="shared" si="1"/>
        <v>0.8235294118</v>
      </c>
      <c r="C12" s="14">
        <f t="shared" si="2"/>
        <v>0.7083333333</v>
      </c>
      <c r="D12" s="14"/>
      <c r="E12" s="21" t="b">
        <v>0</v>
      </c>
      <c r="F12" s="21" t="b">
        <v>1</v>
      </c>
      <c r="G12" s="21" t="b">
        <v>1</v>
      </c>
      <c r="H12" s="21" t="b">
        <v>1</v>
      </c>
      <c r="I12" s="21" t="b">
        <v>0</v>
      </c>
      <c r="J12" s="21" t="b">
        <v>0</v>
      </c>
      <c r="K12" s="21" t="b">
        <v>1</v>
      </c>
      <c r="L12" s="21" t="b">
        <v>1</v>
      </c>
      <c r="M12" s="21" t="b">
        <v>1</v>
      </c>
      <c r="N12" s="21" t="b">
        <v>1</v>
      </c>
      <c r="O12" s="21" t="b">
        <v>1</v>
      </c>
      <c r="P12" s="21" t="b">
        <v>1</v>
      </c>
      <c r="Q12" s="21" t="b">
        <v>1</v>
      </c>
      <c r="R12" s="21" t="b">
        <v>1</v>
      </c>
      <c r="S12" s="21" t="b">
        <v>1</v>
      </c>
      <c r="T12" s="21" t="b">
        <v>1</v>
      </c>
      <c r="U12" s="21" t="b">
        <v>1</v>
      </c>
      <c r="V12" s="21" t="b">
        <v>1</v>
      </c>
      <c r="W12" s="21" t="b">
        <v>1</v>
      </c>
      <c r="X12" s="21" t="b">
        <v>0</v>
      </c>
      <c r="Y12" s="21" t="b">
        <v>1</v>
      </c>
      <c r="Z12" s="21" t="b">
        <v>0</v>
      </c>
      <c r="AA12" s="21" t="b">
        <v>0</v>
      </c>
      <c r="AB12" s="21" t="b">
        <v>0</v>
      </c>
    </row>
    <row r="13" ht="15.75" customHeight="1">
      <c r="A13" s="26" t="s">
        <v>60</v>
      </c>
      <c r="B13" s="14">
        <f t="shared" si="1"/>
        <v>0.7647058824</v>
      </c>
      <c r="C13" s="14">
        <f t="shared" si="2"/>
        <v>0.6666666667</v>
      </c>
      <c r="D13" s="14"/>
      <c r="E13" s="21" t="b">
        <v>1</v>
      </c>
      <c r="F13" s="21" t="b">
        <v>1</v>
      </c>
      <c r="G13" s="21" t="b">
        <v>0</v>
      </c>
      <c r="H13" s="21" t="b">
        <v>1</v>
      </c>
      <c r="I13" s="21" t="b">
        <v>0</v>
      </c>
      <c r="J13" s="21" t="b">
        <v>0</v>
      </c>
      <c r="K13" s="21" t="b">
        <v>1</v>
      </c>
      <c r="L13" s="21" t="b">
        <v>0</v>
      </c>
      <c r="M13" s="21" t="b">
        <v>1</v>
      </c>
      <c r="N13" s="21" t="b">
        <v>1</v>
      </c>
      <c r="O13" s="21" t="b">
        <v>1</v>
      </c>
      <c r="P13" s="21" t="b">
        <v>1</v>
      </c>
      <c r="Q13" s="21" t="b">
        <v>1</v>
      </c>
      <c r="R13" s="21" t="b">
        <v>1</v>
      </c>
      <c r="S13" s="21" t="b">
        <v>1</v>
      </c>
      <c r="T13" s="21" t="b">
        <v>1</v>
      </c>
      <c r="U13" s="21" t="b">
        <v>1</v>
      </c>
      <c r="V13" s="21" t="b">
        <v>1</v>
      </c>
      <c r="W13" s="21" t="b">
        <v>1</v>
      </c>
      <c r="X13" s="21" t="b">
        <v>0</v>
      </c>
      <c r="Y13" s="21" t="b">
        <v>1</v>
      </c>
      <c r="Z13" s="21" t="b">
        <v>0</v>
      </c>
      <c r="AA13" s="21" t="b">
        <v>0</v>
      </c>
      <c r="AB13" s="21" t="b">
        <v>0</v>
      </c>
    </row>
    <row r="14" ht="15.75" customHeight="1">
      <c r="A14" s="26" t="s">
        <v>61</v>
      </c>
      <c r="B14" s="14">
        <f t="shared" si="1"/>
        <v>0.5294117647</v>
      </c>
      <c r="C14" s="14">
        <f t="shared" si="2"/>
        <v>0.375</v>
      </c>
      <c r="D14" s="14"/>
      <c r="E14" s="21" t="b">
        <v>0</v>
      </c>
      <c r="F14" s="21" t="b">
        <v>0</v>
      </c>
      <c r="G14" s="21" t="b">
        <v>0</v>
      </c>
      <c r="H14" s="21" t="b">
        <v>0</v>
      </c>
      <c r="I14" s="21" t="b">
        <v>0</v>
      </c>
      <c r="J14" s="21" t="b">
        <v>0</v>
      </c>
      <c r="K14" s="21" t="b">
        <v>1</v>
      </c>
      <c r="L14" s="21" t="b">
        <v>1</v>
      </c>
      <c r="M14" s="21" t="b">
        <v>1</v>
      </c>
      <c r="N14" s="21" t="b">
        <v>1</v>
      </c>
      <c r="O14" s="21" t="b">
        <v>1</v>
      </c>
      <c r="P14" s="21" t="b">
        <v>0</v>
      </c>
      <c r="Q14" s="21" t="b">
        <v>0</v>
      </c>
      <c r="R14" s="21" t="b">
        <v>1</v>
      </c>
      <c r="S14" s="21" t="b">
        <v>1</v>
      </c>
      <c r="T14" s="21" t="b">
        <v>1</v>
      </c>
      <c r="U14" s="21" t="b">
        <v>1</v>
      </c>
      <c r="V14" s="21" t="b">
        <v>0</v>
      </c>
      <c r="W14" s="21" t="b">
        <v>0</v>
      </c>
      <c r="X14" s="21" t="b">
        <v>0</v>
      </c>
      <c r="Y14" s="21" t="b">
        <v>0</v>
      </c>
      <c r="Z14" s="21" t="b">
        <v>0</v>
      </c>
      <c r="AA14" s="21" t="b">
        <v>0</v>
      </c>
      <c r="AB14" s="21" t="b">
        <v>0</v>
      </c>
    </row>
    <row r="15" ht="15.75" customHeight="1">
      <c r="A15" s="26" t="s">
        <v>62</v>
      </c>
      <c r="B15" s="14">
        <f t="shared" si="1"/>
        <v>0.5294117647</v>
      </c>
      <c r="C15" s="14">
        <f t="shared" si="2"/>
        <v>0.4166666667</v>
      </c>
      <c r="D15" s="14"/>
      <c r="E15" s="21" t="b">
        <v>0</v>
      </c>
      <c r="F15" s="21" t="b">
        <v>0</v>
      </c>
      <c r="G15" s="21" t="b">
        <v>0</v>
      </c>
      <c r="H15" s="21" t="b">
        <v>0</v>
      </c>
      <c r="I15" s="21" t="b">
        <v>0</v>
      </c>
      <c r="J15" s="21" t="b">
        <v>0</v>
      </c>
      <c r="K15" s="21" t="b">
        <v>1</v>
      </c>
      <c r="L15" s="21" t="b">
        <v>0</v>
      </c>
      <c r="M15" s="21" t="b">
        <v>1</v>
      </c>
      <c r="N15" s="21" t="b">
        <v>1</v>
      </c>
      <c r="O15" s="21" t="b">
        <v>1</v>
      </c>
      <c r="P15" s="21" t="b">
        <v>1</v>
      </c>
      <c r="Q15" s="21" t="b">
        <v>0</v>
      </c>
      <c r="R15" s="21" t="b">
        <v>1</v>
      </c>
      <c r="S15" s="21" t="b">
        <v>1</v>
      </c>
      <c r="T15" s="21" t="b">
        <v>1</v>
      </c>
      <c r="U15" s="21" t="b">
        <v>1</v>
      </c>
      <c r="V15" s="21" t="b">
        <v>1</v>
      </c>
      <c r="W15" s="21" t="b">
        <v>0</v>
      </c>
      <c r="X15" s="21" t="b">
        <v>0</v>
      </c>
      <c r="Y15" s="21" t="b">
        <v>0</v>
      </c>
      <c r="Z15" s="21" t="b">
        <v>0</v>
      </c>
      <c r="AA15" s="21" t="b">
        <v>0</v>
      </c>
      <c r="AB15" s="21" t="b">
        <v>0</v>
      </c>
    </row>
    <row r="16" ht="15.75" customHeight="1">
      <c r="A16" s="26" t="s">
        <v>63</v>
      </c>
      <c r="B16" s="14">
        <f t="shared" si="1"/>
        <v>0.4705882353</v>
      </c>
      <c r="C16" s="14">
        <f t="shared" si="2"/>
        <v>0.375</v>
      </c>
      <c r="D16" s="14"/>
      <c r="E16" s="21" t="b">
        <v>0</v>
      </c>
      <c r="F16" s="21" t="b">
        <v>0</v>
      </c>
      <c r="G16" s="21" t="b">
        <v>0</v>
      </c>
      <c r="H16" s="21" t="b">
        <v>0</v>
      </c>
      <c r="I16" s="21" t="b">
        <v>0</v>
      </c>
      <c r="J16" s="21" t="b">
        <v>0</v>
      </c>
      <c r="K16" s="21" t="b">
        <v>1</v>
      </c>
      <c r="L16" s="21" t="b">
        <v>1</v>
      </c>
      <c r="M16" s="21" t="b">
        <v>1</v>
      </c>
      <c r="N16" s="21" t="b">
        <v>1</v>
      </c>
      <c r="O16" s="21" t="b">
        <v>0</v>
      </c>
      <c r="P16" s="21" t="b">
        <v>0</v>
      </c>
      <c r="Q16" s="21" t="b">
        <v>0</v>
      </c>
      <c r="R16" s="21" t="b">
        <v>1</v>
      </c>
      <c r="S16" s="21" t="b">
        <v>1</v>
      </c>
      <c r="T16" s="21" t="b">
        <v>1</v>
      </c>
      <c r="U16" s="21" t="b">
        <v>1</v>
      </c>
      <c r="V16" s="21" t="b">
        <v>1</v>
      </c>
      <c r="W16" s="21" t="b">
        <v>0</v>
      </c>
      <c r="X16" s="21" t="b">
        <v>0</v>
      </c>
      <c r="Y16" s="21" t="b">
        <v>0</v>
      </c>
      <c r="Z16" s="21" t="b">
        <v>0</v>
      </c>
      <c r="AA16" s="21" t="b">
        <v>0</v>
      </c>
      <c r="AB16" s="21" t="b">
        <v>0</v>
      </c>
    </row>
    <row r="17" ht="15.75" customHeight="1">
      <c r="A17" s="10" t="s">
        <v>64</v>
      </c>
      <c r="B17" s="10">
        <v>17.0</v>
      </c>
      <c r="C17" s="10">
        <v>24.0</v>
      </c>
      <c r="E17" s="10">
        <f t="shared" ref="E17:AB17" si="3">COUNTIF(E2:E16, TRUE)</f>
        <v>3</v>
      </c>
      <c r="F17" s="10">
        <f t="shared" si="3"/>
        <v>6</v>
      </c>
      <c r="G17" s="10">
        <f t="shared" si="3"/>
        <v>4</v>
      </c>
      <c r="H17" s="10">
        <f t="shared" si="3"/>
        <v>5</v>
      </c>
      <c r="I17" s="10">
        <f t="shared" si="3"/>
        <v>1</v>
      </c>
      <c r="J17" s="10">
        <f t="shared" si="3"/>
        <v>0</v>
      </c>
      <c r="K17" s="10">
        <f t="shared" si="3"/>
        <v>15</v>
      </c>
      <c r="L17" s="10">
        <f t="shared" si="3"/>
        <v>4</v>
      </c>
      <c r="M17" s="10">
        <f t="shared" si="3"/>
        <v>15</v>
      </c>
      <c r="N17" s="10">
        <f t="shared" si="3"/>
        <v>15</v>
      </c>
      <c r="O17" s="10">
        <f t="shared" si="3"/>
        <v>9</v>
      </c>
      <c r="P17" s="10">
        <f t="shared" si="3"/>
        <v>7</v>
      </c>
      <c r="Q17" s="10">
        <f t="shared" si="3"/>
        <v>5</v>
      </c>
      <c r="R17" s="10">
        <f t="shared" si="3"/>
        <v>15</v>
      </c>
      <c r="S17" s="10">
        <f t="shared" si="3"/>
        <v>15</v>
      </c>
      <c r="T17" s="10">
        <f t="shared" si="3"/>
        <v>15</v>
      </c>
      <c r="U17" s="10">
        <f t="shared" si="3"/>
        <v>15</v>
      </c>
      <c r="V17" s="10">
        <f t="shared" si="3"/>
        <v>13</v>
      </c>
      <c r="W17" s="10">
        <f t="shared" si="3"/>
        <v>3</v>
      </c>
      <c r="X17" s="10">
        <f t="shared" si="3"/>
        <v>0</v>
      </c>
      <c r="Y17" s="10">
        <f t="shared" si="3"/>
        <v>2</v>
      </c>
      <c r="Z17" s="10">
        <f t="shared" si="3"/>
        <v>0</v>
      </c>
      <c r="AA17" s="10">
        <f t="shared" si="3"/>
        <v>0</v>
      </c>
      <c r="AB17" s="10">
        <f t="shared" si="3"/>
        <v>0</v>
      </c>
    </row>
    <row r="18" ht="15.75" customHeight="1"/>
    <row r="19" ht="15.75" customHeight="1"/>
    <row r="20" ht="15.75" customHeight="1">
      <c r="A20" s="26"/>
      <c r="E20" s="26"/>
    </row>
    <row r="21" ht="15.75" customHeight="1">
      <c r="A21" s="44" t="s">
        <v>143</v>
      </c>
      <c r="E21" s="33" t="s">
        <v>65</v>
      </c>
    </row>
    <row r="22" ht="15.75" customHeight="1">
      <c r="A22" s="26"/>
      <c r="E22" s="34" t="s">
        <v>66</v>
      </c>
    </row>
    <row r="23" ht="15.75" customHeight="1">
      <c r="A23" s="26"/>
      <c r="E23" s="36" t="s">
        <v>28</v>
      </c>
    </row>
    <row r="24" ht="15.75" customHeight="1">
      <c r="A24" s="26"/>
      <c r="E24" s="37" t="s">
        <v>68</v>
      </c>
    </row>
    <row r="25" ht="15.75" customHeight="1">
      <c r="A25" s="26"/>
      <c r="E25" s="26"/>
    </row>
    <row r="26" ht="15.75" customHeight="1">
      <c r="A26" s="26"/>
      <c r="E26" s="26"/>
    </row>
    <row r="27" ht="15.75" customHeight="1">
      <c r="A27" s="26"/>
      <c r="E27" s="26"/>
    </row>
    <row r="28" ht="15.75" customHeight="1">
      <c r="A28" s="26"/>
      <c r="E28" s="26"/>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E2:AB16">
    <cfRule type="cellIs" dxfId="0" priority="1" operator="equal">
      <formula>"TRUE"</formula>
    </cfRule>
  </conditionalFormatting>
  <hyperlinks>
    <hyperlink r:id="rId2" ref="A21"/>
  </hyperlinks>
  <drawing r:id="rId3"/>
  <legacy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xSplit="1.0" topLeftCell="B1" activePane="topRight" state="frozen"/>
      <selection activeCell="C2" sqref="C2" pane="topRight"/>
    </sheetView>
  </sheetViews>
  <sheetFormatPr customHeight="1" defaultColWidth="12.63" defaultRowHeight="15.0"/>
  <cols>
    <col customWidth="1" min="1" max="1" width="12.63"/>
    <col customWidth="1" min="2" max="4" width="7.38"/>
    <col customWidth="1" min="5" max="6" width="12.63"/>
  </cols>
  <sheetData>
    <row r="1" ht="15.75" customHeight="1">
      <c r="B1" s="10" t="s">
        <v>29</v>
      </c>
      <c r="C1" s="10" t="s">
        <v>30</v>
      </c>
      <c r="D1" s="21" t="s">
        <v>31</v>
      </c>
      <c r="E1" s="21" t="s">
        <v>144</v>
      </c>
      <c r="F1" s="21" t="s">
        <v>145</v>
      </c>
      <c r="G1" s="21" t="s">
        <v>146</v>
      </c>
      <c r="H1" s="21" t="s">
        <v>147</v>
      </c>
      <c r="I1" s="21" t="s">
        <v>148</v>
      </c>
      <c r="J1" s="21" t="s">
        <v>149</v>
      </c>
      <c r="K1" s="21" t="s">
        <v>150</v>
      </c>
      <c r="L1" s="21" t="s">
        <v>151</v>
      </c>
      <c r="M1" s="21" t="s">
        <v>152</v>
      </c>
      <c r="N1" s="21" t="s">
        <v>153</v>
      </c>
      <c r="O1" s="21" t="s">
        <v>154</v>
      </c>
      <c r="P1" s="21" t="s">
        <v>155</v>
      </c>
      <c r="Q1" s="23" t="s">
        <v>41</v>
      </c>
      <c r="R1" s="23" t="s">
        <v>41</v>
      </c>
      <c r="S1" s="24" t="s">
        <v>156</v>
      </c>
      <c r="T1" s="25" t="s">
        <v>125</v>
      </c>
      <c r="U1" s="25" t="s">
        <v>125</v>
      </c>
      <c r="V1" s="25" t="s">
        <v>125</v>
      </c>
      <c r="W1" s="25" t="s">
        <v>125</v>
      </c>
      <c r="X1" s="25" t="s">
        <v>157</v>
      </c>
      <c r="Y1" s="25" t="s">
        <v>157</v>
      </c>
      <c r="Z1" s="25" t="s">
        <v>157</v>
      </c>
    </row>
    <row r="2" ht="15.75" customHeight="1">
      <c r="A2" s="27" t="s">
        <v>49</v>
      </c>
      <c r="B2" s="14">
        <f t="shared" ref="B2:B16" si="1">COUNTIF(E2:R2, TRUE) / COUNTA(E2:R2)</f>
        <v>0.6428571429</v>
      </c>
      <c r="C2" s="14">
        <f t="shared" ref="C2:C16" si="2">COUNTIF(E2:Z2, TRUE) / COUNTA(E2:Z2)</f>
        <v>0.5</v>
      </c>
      <c r="D2" s="21" t="s">
        <v>31</v>
      </c>
      <c r="E2" s="21" t="b">
        <v>1</v>
      </c>
      <c r="F2" s="21" t="b">
        <v>1</v>
      </c>
      <c r="G2" s="21" t="b">
        <v>1</v>
      </c>
      <c r="H2" s="21" t="b">
        <v>0</v>
      </c>
      <c r="I2" s="21" t="b">
        <v>0</v>
      </c>
      <c r="J2" s="21" t="b">
        <v>0</v>
      </c>
      <c r="K2" s="21" t="b">
        <v>0</v>
      </c>
      <c r="L2" s="21" t="b">
        <v>0</v>
      </c>
      <c r="M2" s="21" t="b">
        <v>1</v>
      </c>
      <c r="N2" s="21" t="b">
        <v>1</v>
      </c>
      <c r="O2" s="21" t="b">
        <v>1</v>
      </c>
      <c r="P2" s="21" t="b">
        <v>1</v>
      </c>
      <c r="Q2" s="21" t="b">
        <v>1</v>
      </c>
      <c r="R2" s="21" t="b">
        <v>1</v>
      </c>
      <c r="S2" s="21" t="b">
        <v>0</v>
      </c>
      <c r="T2" s="21" t="b">
        <v>1</v>
      </c>
      <c r="U2" s="21" t="b">
        <v>1</v>
      </c>
      <c r="V2" s="21" t="b">
        <v>0</v>
      </c>
      <c r="W2" s="21" t="b">
        <v>0</v>
      </c>
      <c r="X2" s="21" t="b">
        <v>0</v>
      </c>
      <c r="Y2" s="21" t="b">
        <v>0</v>
      </c>
      <c r="Z2" s="21" t="b">
        <v>0</v>
      </c>
      <c r="AA2" s="21"/>
      <c r="AB2" s="21"/>
    </row>
    <row r="3" ht="15.75" customHeight="1">
      <c r="A3" s="27" t="s">
        <v>50</v>
      </c>
      <c r="B3" s="14">
        <f t="shared" si="1"/>
        <v>0.5714285714</v>
      </c>
      <c r="C3" s="14">
        <f t="shared" si="2"/>
        <v>0.4545454545</v>
      </c>
      <c r="D3" s="21" t="s">
        <v>31</v>
      </c>
      <c r="E3" s="21" t="b">
        <v>1</v>
      </c>
      <c r="F3" s="21" t="b">
        <v>1</v>
      </c>
      <c r="G3" s="21" t="b">
        <v>1</v>
      </c>
      <c r="H3" s="21" t="b">
        <v>0</v>
      </c>
      <c r="I3" s="21" t="b">
        <v>0</v>
      </c>
      <c r="J3" s="21" t="b">
        <v>0</v>
      </c>
      <c r="K3" s="21" t="b">
        <v>0</v>
      </c>
      <c r="L3" s="21" t="b">
        <v>0</v>
      </c>
      <c r="M3" s="21" t="b">
        <v>1</v>
      </c>
      <c r="N3" s="21" t="b">
        <v>1</v>
      </c>
      <c r="O3" s="21" t="b">
        <v>1</v>
      </c>
      <c r="P3" s="21" t="b">
        <v>0</v>
      </c>
      <c r="Q3" s="21" t="b">
        <v>1</v>
      </c>
      <c r="R3" s="21" t="b">
        <v>1</v>
      </c>
      <c r="S3" s="21" t="b">
        <v>0</v>
      </c>
      <c r="T3" s="21" t="b">
        <v>1</v>
      </c>
      <c r="U3" s="21" t="b">
        <v>1</v>
      </c>
      <c r="V3" s="21" t="b">
        <v>0</v>
      </c>
      <c r="W3" s="21" t="b">
        <v>0</v>
      </c>
      <c r="X3" s="21" t="b">
        <v>0</v>
      </c>
      <c r="Y3" s="21" t="b">
        <v>0</v>
      </c>
      <c r="Z3" s="21" t="b">
        <v>0</v>
      </c>
      <c r="AA3" s="21"/>
      <c r="AB3" s="21"/>
    </row>
    <row r="4" ht="15.75" customHeight="1">
      <c r="A4" s="26" t="s">
        <v>51</v>
      </c>
      <c r="B4" s="14">
        <f t="shared" si="1"/>
        <v>0.5</v>
      </c>
      <c r="C4" s="14">
        <f t="shared" si="2"/>
        <v>0.3181818182</v>
      </c>
      <c r="D4" s="29"/>
      <c r="E4" s="21" t="b">
        <v>0</v>
      </c>
      <c r="F4" s="21" t="b">
        <v>0</v>
      </c>
      <c r="G4" s="21" t="b">
        <v>1</v>
      </c>
      <c r="H4" s="21" t="b">
        <v>0</v>
      </c>
      <c r="I4" s="21" t="b">
        <v>0</v>
      </c>
      <c r="J4" s="21" t="b">
        <v>0</v>
      </c>
      <c r="K4" s="21" t="b">
        <v>0</v>
      </c>
      <c r="L4" s="21" t="b">
        <v>0</v>
      </c>
      <c r="M4" s="21" t="b">
        <v>1</v>
      </c>
      <c r="N4" s="21" t="b">
        <v>1</v>
      </c>
      <c r="O4" s="21" t="b">
        <v>1</v>
      </c>
      <c r="P4" s="21" t="b">
        <v>1</v>
      </c>
      <c r="Q4" s="21" t="b">
        <v>1</v>
      </c>
      <c r="R4" s="21" t="b">
        <v>1</v>
      </c>
      <c r="S4" s="21" t="b">
        <v>0</v>
      </c>
      <c r="T4" s="21" t="b">
        <v>0</v>
      </c>
      <c r="U4" s="21" t="b">
        <v>0</v>
      </c>
      <c r="V4" s="21" t="b">
        <v>0</v>
      </c>
      <c r="W4" s="21" t="b">
        <v>0</v>
      </c>
      <c r="X4" s="21" t="b">
        <v>0</v>
      </c>
      <c r="Y4" s="21" t="b">
        <v>0</v>
      </c>
      <c r="Z4" s="21" t="b">
        <v>0</v>
      </c>
      <c r="AA4" s="21"/>
      <c r="AB4" s="21"/>
    </row>
    <row r="5" ht="15.75" customHeight="1">
      <c r="A5" s="27" t="s">
        <v>52</v>
      </c>
      <c r="B5" s="14">
        <f t="shared" si="1"/>
        <v>0.6428571429</v>
      </c>
      <c r="C5" s="14">
        <f t="shared" si="2"/>
        <v>0.5</v>
      </c>
      <c r="D5" s="21" t="s">
        <v>31</v>
      </c>
      <c r="E5" s="21" t="b">
        <v>1</v>
      </c>
      <c r="F5" s="21" t="b">
        <v>1</v>
      </c>
      <c r="G5" s="21" t="b">
        <v>1</v>
      </c>
      <c r="H5" s="21" t="b">
        <v>0</v>
      </c>
      <c r="I5" s="21" t="b">
        <v>0</v>
      </c>
      <c r="J5" s="21" t="b">
        <v>0</v>
      </c>
      <c r="K5" s="21" t="b">
        <v>0</v>
      </c>
      <c r="L5" s="21" t="b">
        <v>0</v>
      </c>
      <c r="M5" s="21" t="b">
        <v>1</v>
      </c>
      <c r="N5" s="21" t="b">
        <v>1</v>
      </c>
      <c r="O5" s="21" t="b">
        <v>1</v>
      </c>
      <c r="P5" s="21" t="b">
        <v>1</v>
      </c>
      <c r="Q5" s="21" t="b">
        <v>1</v>
      </c>
      <c r="R5" s="21" t="b">
        <v>1</v>
      </c>
      <c r="S5" s="21" t="b">
        <v>0</v>
      </c>
      <c r="T5" s="21" t="b">
        <v>1</v>
      </c>
      <c r="U5" s="21" t="b">
        <v>1</v>
      </c>
      <c r="V5" s="21" t="b">
        <v>0</v>
      </c>
      <c r="W5" s="21" t="b">
        <v>0</v>
      </c>
      <c r="X5" s="21" t="b">
        <v>0</v>
      </c>
      <c r="Y5" s="21" t="b">
        <v>0</v>
      </c>
      <c r="Z5" s="21" t="b">
        <v>0</v>
      </c>
      <c r="AA5" s="21"/>
      <c r="AB5" s="21"/>
    </row>
    <row r="6" ht="15.75" customHeight="1">
      <c r="A6" s="27" t="s">
        <v>53</v>
      </c>
      <c r="B6" s="14">
        <f t="shared" si="1"/>
        <v>0.6428571429</v>
      </c>
      <c r="C6" s="14">
        <f t="shared" si="2"/>
        <v>0.5</v>
      </c>
      <c r="D6" s="21" t="s">
        <v>31</v>
      </c>
      <c r="E6" s="21" t="b">
        <v>1</v>
      </c>
      <c r="F6" s="21" t="b">
        <v>1</v>
      </c>
      <c r="G6" s="21" t="b">
        <v>1</v>
      </c>
      <c r="H6" s="21" t="b">
        <v>0</v>
      </c>
      <c r="I6" s="21" t="b">
        <v>0</v>
      </c>
      <c r="J6" s="21" t="b">
        <v>0</v>
      </c>
      <c r="K6" s="21" t="b">
        <v>0</v>
      </c>
      <c r="L6" s="21" t="b">
        <v>0</v>
      </c>
      <c r="M6" s="21" t="b">
        <v>1</v>
      </c>
      <c r="N6" s="21" t="b">
        <v>1</v>
      </c>
      <c r="O6" s="21" t="b">
        <v>1</v>
      </c>
      <c r="P6" s="21" t="b">
        <v>1</v>
      </c>
      <c r="Q6" s="21" t="b">
        <v>1</v>
      </c>
      <c r="R6" s="21" t="b">
        <v>1</v>
      </c>
      <c r="S6" s="21" t="b">
        <v>0</v>
      </c>
      <c r="T6" s="21" t="b">
        <v>1</v>
      </c>
      <c r="U6" s="21" t="b">
        <v>1</v>
      </c>
      <c r="V6" s="21" t="b">
        <v>0</v>
      </c>
      <c r="W6" s="21" t="b">
        <v>0</v>
      </c>
      <c r="X6" s="21" t="b">
        <v>0</v>
      </c>
      <c r="Y6" s="21" t="b">
        <v>0</v>
      </c>
      <c r="Z6" s="21" t="b">
        <v>0</v>
      </c>
      <c r="AA6" s="21"/>
      <c r="AB6" s="21"/>
    </row>
    <row r="7" ht="15.75" customHeight="1">
      <c r="A7" s="26" t="s">
        <v>54</v>
      </c>
      <c r="B7" s="14">
        <f t="shared" si="1"/>
        <v>0.5714285714</v>
      </c>
      <c r="C7" s="14">
        <f t="shared" si="2"/>
        <v>0.3636363636</v>
      </c>
      <c r="D7" s="29"/>
      <c r="E7" s="21" t="b">
        <v>1</v>
      </c>
      <c r="F7" s="21" t="b">
        <v>0</v>
      </c>
      <c r="G7" s="21" t="b">
        <v>0</v>
      </c>
      <c r="H7" s="21" t="b">
        <v>0</v>
      </c>
      <c r="I7" s="21" t="b">
        <v>1</v>
      </c>
      <c r="J7" s="21" t="b">
        <v>0</v>
      </c>
      <c r="K7" s="21" t="b">
        <v>0</v>
      </c>
      <c r="L7" s="21" t="b">
        <v>0</v>
      </c>
      <c r="M7" s="21" t="b">
        <v>1</v>
      </c>
      <c r="N7" s="21" t="b">
        <v>1</v>
      </c>
      <c r="O7" s="21" t="b">
        <v>1</v>
      </c>
      <c r="P7" s="21" t="b">
        <v>1</v>
      </c>
      <c r="Q7" s="21" t="b">
        <v>1</v>
      </c>
      <c r="R7" s="21" t="b">
        <v>1</v>
      </c>
      <c r="S7" s="21" t="b">
        <v>0</v>
      </c>
      <c r="T7" s="21" t="b">
        <v>0</v>
      </c>
      <c r="U7" s="21" t="b">
        <v>0</v>
      </c>
      <c r="V7" s="21" t="b">
        <v>0</v>
      </c>
      <c r="W7" s="21" t="b">
        <v>0</v>
      </c>
      <c r="X7" s="21" t="b">
        <v>0</v>
      </c>
      <c r="Y7" s="21" t="b">
        <v>0</v>
      </c>
      <c r="Z7" s="21" t="b">
        <v>0</v>
      </c>
      <c r="AA7" s="21"/>
      <c r="AB7" s="21"/>
    </row>
    <row r="8" ht="15.75" customHeight="1">
      <c r="A8" s="27" t="s">
        <v>55</v>
      </c>
      <c r="B8" s="14">
        <f t="shared" si="1"/>
        <v>0.6428571429</v>
      </c>
      <c r="C8" s="14">
        <f t="shared" si="2"/>
        <v>0.5</v>
      </c>
      <c r="D8" s="21" t="s">
        <v>31</v>
      </c>
      <c r="E8" s="21" t="b">
        <v>1</v>
      </c>
      <c r="F8" s="21" t="b">
        <v>1</v>
      </c>
      <c r="G8" s="21" t="b">
        <v>1</v>
      </c>
      <c r="H8" s="21" t="b">
        <v>0</v>
      </c>
      <c r="I8" s="21" t="b">
        <v>0</v>
      </c>
      <c r="J8" s="21" t="b">
        <v>0</v>
      </c>
      <c r="K8" s="21" t="b">
        <v>0</v>
      </c>
      <c r="L8" s="21" t="b">
        <v>0</v>
      </c>
      <c r="M8" s="21" t="b">
        <v>1</v>
      </c>
      <c r="N8" s="21" t="b">
        <v>1</v>
      </c>
      <c r="O8" s="21" t="b">
        <v>1</v>
      </c>
      <c r="P8" s="21" t="b">
        <v>1</v>
      </c>
      <c r="Q8" s="21" t="b">
        <v>1</v>
      </c>
      <c r="R8" s="21" t="b">
        <v>1</v>
      </c>
      <c r="S8" s="21" t="b">
        <v>0</v>
      </c>
      <c r="T8" s="21" t="b">
        <v>1</v>
      </c>
      <c r="U8" s="21" t="b">
        <v>1</v>
      </c>
      <c r="V8" s="21" t="b">
        <v>0</v>
      </c>
      <c r="W8" s="21" t="b">
        <v>0</v>
      </c>
      <c r="X8" s="21" t="b">
        <v>0</v>
      </c>
      <c r="Y8" s="21" t="b">
        <v>0</v>
      </c>
      <c r="Z8" s="21" t="b">
        <v>0</v>
      </c>
      <c r="AA8" s="21"/>
      <c r="AB8" s="21"/>
    </row>
    <row r="9" ht="15.75" customHeight="1">
      <c r="A9" s="27" t="s">
        <v>56</v>
      </c>
      <c r="B9" s="14">
        <f t="shared" si="1"/>
        <v>0.6428571429</v>
      </c>
      <c r="C9" s="14">
        <f t="shared" si="2"/>
        <v>0.5</v>
      </c>
      <c r="D9" s="21" t="s">
        <v>31</v>
      </c>
      <c r="E9" s="21" t="b">
        <v>1</v>
      </c>
      <c r="F9" s="21" t="b">
        <v>1</v>
      </c>
      <c r="G9" s="21" t="b">
        <v>1</v>
      </c>
      <c r="H9" s="21" t="b">
        <v>0</v>
      </c>
      <c r="I9" s="21" t="b">
        <v>0</v>
      </c>
      <c r="J9" s="21" t="b">
        <v>0</v>
      </c>
      <c r="K9" s="21" t="b">
        <v>0</v>
      </c>
      <c r="L9" s="21" t="b">
        <v>0</v>
      </c>
      <c r="M9" s="21" t="b">
        <v>1</v>
      </c>
      <c r="N9" s="21" t="b">
        <v>1</v>
      </c>
      <c r="O9" s="21" t="b">
        <v>1</v>
      </c>
      <c r="P9" s="21" t="b">
        <v>1</v>
      </c>
      <c r="Q9" s="21" t="b">
        <v>1</v>
      </c>
      <c r="R9" s="21" t="b">
        <v>1</v>
      </c>
      <c r="S9" s="21" t="b">
        <v>0</v>
      </c>
      <c r="T9" s="21" t="b">
        <v>1</v>
      </c>
      <c r="U9" s="21" t="b">
        <v>1</v>
      </c>
      <c r="V9" s="21" t="b">
        <v>0</v>
      </c>
      <c r="W9" s="21" t="b">
        <v>0</v>
      </c>
      <c r="X9" s="21" t="b">
        <v>0</v>
      </c>
      <c r="Y9" s="21" t="b">
        <v>0</v>
      </c>
      <c r="Z9" s="21" t="b">
        <v>0</v>
      </c>
      <c r="AA9" s="21"/>
      <c r="AB9" s="21"/>
    </row>
    <row r="10" ht="15.75" customHeight="1">
      <c r="A10" s="27" t="s">
        <v>57</v>
      </c>
      <c r="B10" s="14">
        <f t="shared" si="1"/>
        <v>0.6428571429</v>
      </c>
      <c r="C10" s="14">
        <f t="shared" si="2"/>
        <v>0.5</v>
      </c>
      <c r="D10" s="21" t="s">
        <v>31</v>
      </c>
      <c r="E10" s="21" t="b">
        <v>1</v>
      </c>
      <c r="F10" s="21" t="b">
        <v>1</v>
      </c>
      <c r="G10" s="21" t="b">
        <v>1</v>
      </c>
      <c r="H10" s="21" t="b">
        <v>0</v>
      </c>
      <c r="I10" s="21" t="b">
        <v>0</v>
      </c>
      <c r="J10" s="21" t="b">
        <v>0</v>
      </c>
      <c r="K10" s="21" t="b">
        <v>0</v>
      </c>
      <c r="L10" s="21" t="b">
        <v>0</v>
      </c>
      <c r="M10" s="21" t="b">
        <v>1</v>
      </c>
      <c r="N10" s="21" t="b">
        <v>1</v>
      </c>
      <c r="O10" s="21" t="b">
        <v>1</v>
      </c>
      <c r="P10" s="21" t="b">
        <v>1</v>
      </c>
      <c r="Q10" s="21" t="b">
        <v>1</v>
      </c>
      <c r="R10" s="21" t="b">
        <v>1</v>
      </c>
      <c r="S10" s="21" t="b">
        <v>0</v>
      </c>
      <c r="T10" s="21" t="b">
        <v>1</v>
      </c>
      <c r="U10" s="21" t="b">
        <v>1</v>
      </c>
      <c r="V10" s="21" t="b">
        <v>0</v>
      </c>
      <c r="W10" s="21" t="b">
        <v>0</v>
      </c>
      <c r="X10" s="21" t="b">
        <v>0</v>
      </c>
      <c r="Y10" s="21" t="b">
        <v>0</v>
      </c>
      <c r="Z10" s="21" t="b">
        <v>0</v>
      </c>
      <c r="AA10" s="21"/>
      <c r="AB10" s="21"/>
    </row>
    <row r="11" ht="15.75" customHeight="1">
      <c r="A11" s="30" t="s">
        <v>58</v>
      </c>
      <c r="B11" s="14">
        <f t="shared" si="1"/>
        <v>0.5</v>
      </c>
      <c r="C11" s="14">
        <f t="shared" si="2"/>
        <v>0.3181818182</v>
      </c>
      <c r="D11" s="29"/>
      <c r="E11" s="21" t="b">
        <v>0</v>
      </c>
      <c r="F11" s="21" t="b">
        <v>0</v>
      </c>
      <c r="G11" s="21" t="b">
        <v>0</v>
      </c>
      <c r="H11" s="21" t="b">
        <v>0</v>
      </c>
      <c r="I11" s="21" t="b">
        <v>1</v>
      </c>
      <c r="J11" s="21" t="b">
        <v>0</v>
      </c>
      <c r="K11" s="21" t="b">
        <v>0</v>
      </c>
      <c r="L11" s="21" t="b">
        <v>0</v>
      </c>
      <c r="M11" s="21" t="b">
        <v>1</v>
      </c>
      <c r="N11" s="21" t="b">
        <v>1</v>
      </c>
      <c r="O11" s="21" t="b">
        <v>1</v>
      </c>
      <c r="P11" s="21" t="b">
        <v>1</v>
      </c>
      <c r="Q11" s="21" t="b">
        <v>1</v>
      </c>
      <c r="R11" s="21" t="b">
        <v>1</v>
      </c>
      <c r="S11" s="21" t="b">
        <v>0</v>
      </c>
      <c r="T11" s="21" t="b">
        <v>0</v>
      </c>
      <c r="U11" s="21" t="b">
        <v>0</v>
      </c>
      <c r="V11" s="21" t="b">
        <v>0</v>
      </c>
      <c r="W11" s="21" t="b">
        <v>0</v>
      </c>
      <c r="X11" s="21" t="b">
        <v>0</v>
      </c>
      <c r="Y11" s="21" t="b">
        <v>0</v>
      </c>
      <c r="Z11" s="21" t="b">
        <v>0</v>
      </c>
      <c r="AA11" s="21"/>
      <c r="AB11" s="21"/>
    </row>
    <row r="12" ht="15.75" customHeight="1">
      <c r="A12" s="27" t="s">
        <v>59</v>
      </c>
      <c r="B12" s="14">
        <f t="shared" si="1"/>
        <v>0.6428571429</v>
      </c>
      <c r="C12" s="14">
        <f t="shared" si="2"/>
        <v>0.5</v>
      </c>
      <c r="D12" s="21" t="s">
        <v>31</v>
      </c>
      <c r="E12" s="21" t="b">
        <v>1</v>
      </c>
      <c r="F12" s="21" t="b">
        <v>1</v>
      </c>
      <c r="G12" s="21" t="b">
        <v>1</v>
      </c>
      <c r="H12" s="21" t="b">
        <v>0</v>
      </c>
      <c r="I12" s="21" t="b">
        <v>0</v>
      </c>
      <c r="J12" s="21" t="b">
        <v>0</v>
      </c>
      <c r="K12" s="21" t="b">
        <v>0</v>
      </c>
      <c r="L12" s="21" t="b">
        <v>0</v>
      </c>
      <c r="M12" s="21" t="b">
        <v>1</v>
      </c>
      <c r="N12" s="21" t="b">
        <v>1</v>
      </c>
      <c r="O12" s="21" t="b">
        <v>1</v>
      </c>
      <c r="P12" s="21" t="b">
        <v>1</v>
      </c>
      <c r="Q12" s="21" t="b">
        <v>1</v>
      </c>
      <c r="R12" s="21" t="b">
        <v>1</v>
      </c>
      <c r="S12" s="21" t="b">
        <v>0</v>
      </c>
      <c r="T12" s="21" t="b">
        <v>1</v>
      </c>
      <c r="U12" s="21" t="b">
        <v>1</v>
      </c>
      <c r="V12" s="21" t="b">
        <v>0</v>
      </c>
      <c r="W12" s="21" t="b">
        <v>0</v>
      </c>
      <c r="X12" s="21" t="b">
        <v>0</v>
      </c>
      <c r="Y12" s="21" t="b">
        <v>0</v>
      </c>
      <c r="Z12" s="21" t="b">
        <v>0</v>
      </c>
      <c r="AA12" s="21"/>
      <c r="AB12" s="21"/>
    </row>
    <row r="13" ht="15.75" customHeight="1">
      <c r="A13" s="27" t="s">
        <v>60</v>
      </c>
      <c r="B13" s="14">
        <f t="shared" si="1"/>
        <v>0.5714285714</v>
      </c>
      <c r="C13" s="14">
        <f t="shared" si="2"/>
        <v>0.4545454545</v>
      </c>
      <c r="D13" s="21" t="s">
        <v>31</v>
      </c>
      <c r="E13" s="21" t="b">
        <v>1</v>
      </c>
      <c r="F13" s="21" t="b">
        <v>1</v>
      </c>
      <c r="G13" s="21" t="b">
        <v>1</v>
      </c>
      <c r="H13" s="21" t="b">
        <v>0</v>
      </c>
      <c r="I13" s="21" t="b">
        <v>0</v>
      </c>
      <c r="J13" s="21" t="b">
        <v>0</v>
      </c>
      <c r="K13" s="21" t="b">
        <v>0</v>
      </c>
      <c r="L13" s="21" t="b">
        <v>0</v>
      </c>
      <c r="M13" s="21" t="b">
        <v>1</v>
      </c>
      <c r="N13" s="21" t="b">
        <v>1</v>
      </c>
      <c r="O13" s="21" t="b">
        <v>1</v>
      </c>
      <c r="P13" s="21" t="b">
        <v>0</v>
      </c>
      <c r="Q13" s="21" t="b">
        <v>1</v>
      </c>
      <c r="R13" s="21" t="b">
        <v>1</v>
      </c>
      <c r="S13" s="21" t="b">
        <v>0</v>
      </c>
      <c r="T13" s="21" t="b">
        <v>1</v>
      </c>
      <c r="U13" s="21" t="b">
        <v>1</v>
      </c>
      <c r="V13" s="21" t="b">
        <v>0</v>
      </c>
      <c r="W13" s="21" t="b">
        <v>0</v>
      </c>
      <c r="X13" s="21" t="b">
        <v>0</v>
      </c>
      <c r="Y13" s="21" t="b">
        <v>0</v>
      </c>
      <c r="Z13" s="21" t="b">
        <v>0</v>
      </c>
      <c r="AA13" s="21"/>
      <c r="AB13" s="21"/>
    </row>
    <row r="14" ht="15.75" customHeight="1">
      <c r="A14" s="27" t="s">
        <v>61</v>
      </c>
      <c r="B14" s="14">
        <f t="shared" si="1"/>
        <v>0.6428571429</v>
      </c>
      <c r="C14" s="14">
        <f t="shared" si="2"/>
        <v>0.5</v>
      </c>
      <c r="D14" s="21" t="s">
        <v>31</v>
      </c>
      <c r="E14" s="21" t="b">
        <v>1</v>
      </c>
      <c r="F14" s="21" t="b">
        <v>1</v>
      </c>
      <c r="G14" s="21" t="b">
        <v>1</v>
      </c>
      <c r="H14" s="21" t="b">
        <v>0</v>
      </c>
      <c r="I14" s="21" t="b">
        <v>0</v>
      </c>
      <c r="J14" s="21" t="b">
        <v>0</v>
      </c>
      <c r="K14" s="21" t="b">
        <v>0</v>
      </c>
      <c r="L14" s="21" t="b">
        <v>0</v>
      </c>
      <c r="M14" s="21" t="b">
        <v>1</v>
      </c>
      <c r="N14" s="21" t="b">
        <v>1</v>
      </c>
      <c r="O14" s="21" t="b">
        <v>1</v>
      </c>
      <c r="P14" s="21" t="b">
        <v>1</v>
      </c>
      <c r="Q14" s="21" t="b">
        <v>1</v>
      </c>
      <c r="R14" s="21" t="b">
        <v>1</v>
      </c>
      <c r="S14" s="21" t="b">
        <v>0</v>
      </c>
      <c r="T14" s="21" t="b">
        <v>1</v>
      </c>
      <c r="U14" s="21" t="b">
        <v>1</v>
      </c>
      <c r="V14" s="21" t="b">
        <v>0</v>
      </c>
      <c r="W14" s="21" t="b">
        <v>0</v>
      </c>
      <c r="X14" s="21" t="b">
        <v>0</v>
      </c>
      <c r="Y14" s="21" t="b">
        <v>0</v>
      </c>
      <c r="Z14" s="21" t="b">
        <v>0</v>
      </c>
      <c r="AA14" s="21"/>
      <c r="AB14" s="21"/>
    </row>
    <row r="15" ht="15.75" customHeight="1">
      <c r="A15" s="26" t="s">
        <v>62</v>
      </c>
      <c r="B15" s="14">
        <f t="shared" si="1"/>
        <v>0.3571428571</v>
      </c>
      <c r="C15" s="14">
        <f t="shared" si="2"/>
        <v>0.2272727273</v>
      </c>
      <c r="D15" s="29"/>
      <c r="E15" s="21" t="b">
        <v>0</v>
      </c>
      <c r="F15" s="21" t="b">
        <v>0</v>
      </c>
      <c r="G15" s="21" t="b">
        <v>0</v>
      </c>
      <c r="H15" s="21" t="b">
        <v>0</v>
      </c>
      <c r="I15" s="21" t="b">
        <v>0</v>
      </c>
      <c r="J15" s="21" t="b">
        <v>0</v>
      </c>
      <c r="K15" s="21" t="b">
        <v>0</v>
      </c>
      <c r="L15" s="21" t="b">
        <v>0</v>
      </c>
      <c r="M15" s="21" t="b">
        <v>1</v>
      </c>
      <c r="N15" s="21" t="b">
        <v>1</v>
      </c>
      <c r="O15" s="21" t="b">
        <v>1</v>
      </c>
      <c r="P15" s="21" t="b">
        <v>0</v>
      </c>
      <c r="Q15" s="21" t="b">
        <v>1</v>
      </c>
      <c r="R15" s="21" t="b">
        <v>1</v>
      </c>
      <c r="S15" s="21" t="b">
        <v>0</v>
      </c>
      <c r="T15" s="21" t="b">
        <v>0</v>
      </c>
      <c r="U15" s="21" t="b">
        <v>0</v>
      </c>
      <c r="V15" s="21" t="b">
        <v>0</v>
      </c>
      <c r="W15" s="21" t="b">
        <v>0</v>
      </c>
      <c r="X15" s="21" t="b">
        <v>0</v>
      </c>
      <c r="Y15" s="21" t="b">
        <v>0</v>
      </c>
      <c r="Z15" s="21" t="b">
        <v>0</v>
      </c>
      <c r="AA15" s="21"/>
      <c r="AB15" s="21"/>
    </row>
    <row r="16" ht="15.75" customHeight="1">
      <c r="A16" s="27" t="s">
        <v>63</v>
      </c>
      <c r="B16" s="14">
        <f t="shared" si="1"/>
        <v>0.6428571429</v>
      </c>
      <c r="C16" s="14">
        <f t="shared" si="2"/>
        <v>0.5</v>
      </c>
      <c r="D16" s="21" t="s">
        <v>31</v>
      </c>
      <c r="E16" s="21" t="b">
        <v>1</v>
      </c>
      <c r="F16" s="21" t="b">
        <v>1</v>
      </c>
      <c r="G16" s="21" t="b">
        <v>1</v>
      </c>
      <c r="H16" s="21" t="b">
        <v>0</v>
      </c>
      <c r="I16" s="21" t="b">
        <v>0</v>
      </c>
      <c r="J16" s="21" t="b">
        <v>0</v>
      </c>
      <c r="K16" s="21" t="b">
        <v>0</v>
      </c>
      <c r="L16" s="21" t="b">
        <v>0</v>
      </c>
      <c r="M16" s="21" t="b">
        <v>1</v>
      </c>
      <c r="N16" s="21" t="b">
        <v>1</v>
      </c>
      <c r="O16" s="21" t="b">
        <v>1</v>
      </c>
      <c r="P16" s="21" t="b">
        <v>1</v>
      </c>
      <c r="Q16" s="21" t="b">
        <v>1</v>
      </c>
      <c r="R16" s="21" t="b">
        <v>1</v>
      </c>
      <c r="S16" s="21" t="b">
        <v>0</v>
      </c>
      <c r="T16" s="21" t="b">
        <v>1</v>
      </c>
      <c r="U16" s="21" t="b">
        <v>1</v>
      </c>
      <c r="V16" s="21" t="b">
        <v>0</v>
      </c>
      <c r="W16" s="21" t="b">
        <v>0</v>
      </c>
      <c r="X16" s="21" t="b">
        <v>0</v>
      </c>
      <c r="Y16" s="21" t="b">
        <v>0</v>
      </c>
      <c r="Z16" s="21" t="b">
        <v>0</v>
      </c>
      <c r="AA16" s="21"/>
      <c r="AB16" s="21"/>
    </row>
    <row r="17" ht="15.75" customHeight="1">
      <c r="A17" s="10" t="s">
        <v>64</v>
      </c>
      <c r="E17" s="10">
        <f t="shared" ref="E17:Z17" si="3">COUNTIF(E2:E16, TRUE)</f>
        <v>12</v>
      </c>
      <c r="F17" s="10">
        <f t="shared" si="3"/>
        <v>11</v>
      </c>
      <c r="G17" s="10">
        <f t="shared" si="3"/>
        <v>12</v>
      </c>
      <c r="H17" s="10">
        <f t="shared" si="3"/>
        <v>0</v>
      </c>
      <c r="I17" s="10">
        <f t="shared" si="3"/>
        <v>2</v>
      </c>
      <c r="J17" s="10">
        <f t="shared" si="3"/>
        <v>0</v>
      </c>
      <c r="K17" s="10">
        <f t="shared" si="3"/>
        <v>0</v>
      </c>
      <c r="L17" s="10">
        <f t="shared" si="3"/>
        <v>0</v>
      </c>
      <c r="M17" s="10">
        <f t="shared" si="3"/>
        <v>15</v>
      </c>
      <c r="N17" s="10">
        <f t="shared" si="3"/>
        <v>15</v>
      </c>
      <c r="O17" s="10">
        <f t="shared" si="3"/>
        <v>15</v>
      </c>
      <c r="P17" s="10">
        <f t="shared" si="3"/>
        <v>12</v>
      </c>
      <c r="Q17" s="10">
        <f t="shared" si="3"/>
        <v>15</v>
      </c>
      <c r="R17" s="10">
        <f t="shared" si="3"/>
        <v>15</v>
      </c>
      <c r="S17" s="10">
        <f t="shared" si="3"/>
        <v>0</v>
      </c>
      <c r="T17" s="10">
        <f t="shared" si="3"/>
        <v>11</v>
      </c>
      <c r="U17" s="10">
        <f t="shared" si="3"/>
        <v>11</v>
      </c>
      <c r="V17" s="10">
        <f t="shared" si="3"/>
        <v>0</v>
      </c>
      <c r="W17" s="10">
        <f t="shared" si="3"/>
        <v>0</v>
      </c>
      <c r="X17" s="10">
        <f t="shared" si="3"/>
        <v>0</v>
      </c>
      <c r="Y17" s="10">
        <f t="shared" si="3"/>
        <v>0</v>
      </c>
      <c r="Z17" s="10">
        <f t="shared" si="3"/>
        <v>0</v>
      </c>
    </row>
    <row r="18" ht="15.75" customHeight="1"/>
    <row r="19" ht="15.75" customHeight="1"/>
    <row r="20" ht="15.75" customHeight="1"/>
    <row r="21" ht="15.75" customHeight="1"/>
    <row r="22" ht="15.75" customHeight="1">
      <c r="L22" s="10"/>
    </row>
    <row r="23" ht="15.75" customHeight="1"/>
    <row r="24" ht="15.75" customHeight="1"/>
    <row r="25" ht="15.75" customHeight="1"/>
    <row r="26" ht="15.75" customHeight="1">
      <c r="F26" s="33" t="s">
        <v>65</v>
      </c>
    </row>
    <row r="27" ht="15.75" customHeight="1">
      <c r="F27" s="34" t="s">
        <v>66</v>
      </c>
    </row>
    <row r="28" ht="15.75" customHeight="1">
      <c r="F28" s="36" t="s">
        <v>28</v>
      </c>
    </row>
    <row r="29" ht="15.75" customHeight="1">
      <c r="F29" s="37" t="s">
        <v>68</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E2:AB16">
    <cfRule type="cellIs" dxfId="0" priority="1" operator="equal">
      <formula>"TRUE"</formula>
    </cfRule>
  </conditionalFormatting>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2.63" defaultRowHeight="15.0"/>
  <cols>
    <col customWidth="1" min="1" max="1" width="12.63"/>
    <col customWidth="1" min="2" max="2" width="7.25"/>
    <col customWidth="1" min="3" max="4" width="7.38"/>
    <col customWidth="1" min="5" max="6" width="12.63"/>
  </cols>
  <sheetData>
    <row r="1" ht="15.75" customHeight="1">
      <c r="B1" s="10" t="s">
        <v>29</v>
      </c>
      <c r="C1" s="10" t="s">
        <v>30</v>
      </c>
      <c r="D1" s="10" t="s">
        <v>31</v>
      </c>
      <c r="E1" s="21" t="s">
        <v>158</v>
      </c>
      <c r="F1" s="21" t="s">
        <v>159</v>
      </c>
      <c r="G1" s="21" t="s">
        <v>160</v>
      </c>
      <c r="H1" s="21" t="s">
        <v>161</v>
      </c>
      <c r="I1" s="21" t="s">
        <v>162</v>
      </c>
      <c r="J1" s="21" t="s">
        <v>163</v>
      </c>
      <c r="K1" s="21" t="s">
        <v>164</v>
      </c>
      <c r="L1" s="21" t="s">
        <v>165</v>
      </c>
      <c r="M1" s="21" t="s">
        <v>166</v>
      </c>
      <c r="N1" s="21" t="s">
        <v>167</v>
      </c>
      <c r="O1" s="24" t="s">
        <v>168</v>
      </c>
      <c r="P1" s="24" t="s">
        <v>169</v>
      </c>
      <c r="Q1" s="24" t="s">
        <v>170</v>
      </c>
      <c r="R1" s="24" t="s">
        <v>171</v>
      </c>
      <c r="S1" s="24" t="s">
        <v>172</v>
      </c>
      <c r="T1" s="24" t="s">
        <v>173</v>
      </c>
      <c r="U1" s="24" t="s">
        <v>174</v>
      </c>
      <c r="V1" s="24" t="s">
        <v>175</v>
      </c>
      <c r="W1" s="24" t="s">
        <v>176</v>
      </c>
      <c r="X1" s="25" t="s">
        <v>157</v>
      </c>
      <c r="Y1" s="25" t="s">
        <v>157</v>
      </c>
    </row>
    <row r="2" ht="15.75" customHeight="1">
      <c r="A2" s="26" t="s">
        <v>49</v>
      </c>
      <c r="B2" s="14">
        <f t="shared" ref="B2:B16" si="1">COUNTIF(E2:N2, TRUE) / COUNTA(E2:N2)</f>
        <v>0.2</v>
      </c>
      <c r="C2" s="14">
        <f t="shared" ref="C2:C16" si="2">COUNTIF(E2:Y2, TRUE) / COUNTA(E2:Y2)</f>
        <v>0.09523809524</v>
      </c>
      <c r="D2" s="14"/>
      <c r="E2" s="21" t="b">
        <v>0</v>
      </c>
      <c r="F2" s="21" t="b">
        <v>0</v>
      </c>
      <c r="G2" s="21" t="b">
        <v>0</v>
      </c>
      <c r="H2" s="21" t="b">
        <v>0</v>
      </c>
      <c r="I2" s="21" t="b">
        <v>0</v>
      </c>
      <c r="J2" s="21" t="b">
        <v>1</v>
      </c>
      <c r="K2" s="21" t="b">
        <v>1</v>
      </c>
      <c r="L2" s="21" t="b">
        <v>0</v>
      </c>
      <c r="M2" s="21" t="b">
        <v>0</v>
      </c>
      <c r="N2" s="21" t="b">
        <v>0</v>
      </c>
      <c r="O2" s="21" t="b">
        <v>0</v>
      </c>
      <c r="P2" s="21" t="b">
        <v>0</v>
      </c>
      <c r="Q2" s="21" t="b">
        <v>0</v>
      </c>
      <c r="R2" s="21" t="b">
        <v>0</v>
      </c>
      <c r="S2" s="21" t="b">
        <v>0</v>
      </c>
      <c r="T2" s="21" t="b">
        <v>0</v>
      </c>
      <c r="U2" s="21" t="b">
        <v>0</v>
      </c>
      <c r="V2" s="21" t="b">
        <v>0</v>
      </c>
      <c r="W2" s="21" t="b">
        <v>0</v>
      </c>
      <c r="X2" s="21" t="b">
        <v>0</v>
      </c>
      <c r="Y2" s="21" t="b">
        <v>0</v>
      </c>
    </row>
    <row r="3" ht="15.75" customHeight="1">
      <c r="A3" s="26" t="s">
        <v>50</v>
      </c>
      <c r="B3" s="14">
        <f t="shared" si="1"/>
        <v>0.5</v>
      </c>
      <c r="C3" s="14">
        <f t="shared" si="2"/>
        <v>0.2380952381</v>
      </c>
      <c r="D3" s="14"/>
      <c r="E3" s="21" t="b">
        <v>0</v>
      </c>
      <c r="F3" s="21" t="b">
        <v>0</v>
      </c>
      <c r="G3" s="21" t="b">
        <v>1</v>
      </c>
      <c r="H3" s="21" t="b">
        <v>0</v>
      </c>
      <c r="I3" s="21" t="b">
        <v>0</v>
      </c>
      <c r="J3" s="21" t="b">
        <v>1</v>
      </c>
      <c r="K3" s="21" t="b">
        <v>1</v>
      </c>
      <c r="L3" s="21" t="b">
        <v>0</v>
      </c>
      <c r="M3" s="21" t="b">
        <v>1</v>
      </c>
      <c r="N3" s="21" t="b">
        <v>1</v>
      </c>
      <c r="O3" s="21" t="b">
        <v>0</v>
      </c>
      <c r="P3" s="21" t="b">
        <v>0</v>
      </c>
      <c r="Q3" s="21" t="b">
        <v>0</v>
      </c>
      <c r="R3" s="21" t="b">
        <v>0</v>
      </c>
      <c r="S3" s="21" t="b">
        <v>0</v>
      </c>
      <c r="T3" s="21" t="b">
        <v>0</v>
      </c>
      <c r="U3" s="21" t="b">
        <v>0</v>
      </c>
      <c r="V3" s="21" t="b">
        <v>0</v>
      </c>
      <c r="W3" s="21" t="b">
        <v>0</v>
      </c>
      <c r="X3" s="21" t="b">
        <v>0</v>
      </c>
      <c r="Y3" s="21" t="b">
        <v>0</v>
      </c>
    </row>
    <row r="4" ht="15.75" customHeight="1">
      <c r="A4" s="26" t="s">
        <v>51</v>
      </c>
      <c r="B4" s="14">
        <f t="shared" si="1"/>
        <v>0.6</v>
      </c>
      <c r="C4" s="14">
        <f t="shared" si="2"/>
        <v>0.2857142857</v>
      </c>
      <c r="D4" s="14"/>
      <c r="E4" s="21" t="b">
        <v>0</v>
      </c>
      <c r="F4" s="21" t="b">
        <v>1</v>
      </c>
      <c r="G4" s="21" t="b">
        <v>0</v>
      </c>
      <c r="H4" s="21" t="b">
        <v>1</v>
      </c>
      <c r="I4" s="21" t="b">
        <v>0</v>
      </c>
      <c r="J4" s="21" t="b">
        <v>1</v>
      </c>
      <c r="K4" s="21" t="b">
        <v>1</v>
      </c>
      <c r="L4" s="21" t="b">
        <v>0</v>
      </c>
      <c r="M4" s="21" t="b">
        <v>1</v>
      </c>
      <c r="N4" s="21" t="b">
        <v>1</v>
      </c>
      <c r="O4" s="21" t="b">
        <v>0</v>
      </c>
      <c r="P4" s="21" t="b">
        <v>0</v>
      </c>
      <c r="Q4" s="21" t="b">
        <v>0</v>
      </c>
      <c r="R4" s="21" t="b">
        <v>0</v>
      </c>
      <c r="S4" s="21" t="b">
        <v>0</v>
      </c>
      <c r="T4" s="21" t="b">
        <v>0</v>
      </c>
      <c r="U4" s="21" t="b">
        <v>0</v>
      </c>
      <c r="V4" s="21" t="b">
        <v>0</v>
      </c>
      <c r="W4" s="21" t="b">
        <v>0</v>
      </c>
      <c r="X4" s="21" t="b">
        <v>0</v>
      </c>
      <c r="Y4" s="21" t="b">
        <v>0</v>
      </c>
    </row>
    <row r="5" ht="15.75" customHeight="1">
      <c r="A5" s="26" t="s">
        <v>52</v>
      </c>
      <c r="B5" s="14">
        <f t="shared" si="1"/>
        <v>0.6</v>
      </c>
      <c r="C5" s="14">
        <f t="shared" si="2"/>
        <v>0.2857142857</v>
      </c>
      <c r="D5" s="14"/>
      <c r="E5" s="21" t="b">
        <v>0</v>
      </c>
      <c r="F5" s="21" t="b">
        <v>1</v>
      </c>
      <c r="G5" s="21" t="b">
        <v>0</v>
      </c>
      <c r="H5" s="21" t="b">
        <v>1</v>
      </c>
      <c r="I5" s="21" t="b">
        <v>0</v>
      </c>
      <c r="J5" s="21" t="b">
        <v>1</v>
      </c>
      <c r="K5" s="21" t="b">
        <v>1</v>
      </c>
      <c r="L5" s="21" t="b">
        <v>0</v>
      </c>
      <c r="M5" s="21" t="b">
        <v>1</v>
      </c>
      <c r="N5" s="21" t="b">
        <v>1</v>
      </c>
      <c r="O5" s="21" t="b">
        <v>0</v>
      </c>
      <c r="P5" s="21" t="b">
        <v>0</v>
      </c>
      <c r="Q5" s="21" t="b">
        <v>0</v>
      </c>
      <c r="R5" s="21" t="b">
        <v>0</v>
      </c>
      <c r="S5" s="21" t="b">
        <v>0</v>
      </c>
      <c r="T5" s="21" t="b">
        <v>0</v>
      </c>
      <c r="U5" s="21" t="b">
        <v>0</v>
      </c>
      <c r="V5" s="21" t="b">
        <v>0</v>
      </c>
      <c r="W5" s="21" t="b">
        <v>0</v>
      </c>
      <c r="X5" s="21" t="b">
        <v>0</v>
      </c>
      <c r="Y5" s="21" t="b">
        <v>0</v>
      </c>
    </row>
    <row r="6" ht="15.75" customHeight="1">
      <c r="A6" s="26" t="s">
        <v>53</v>
      </c>
      <c r="B6" s="14">
        <f t="shared" si="1"/>
        <v>0.3</v>
      </c>
      <c r="C6" s="14">
        <f t="shared" si="2"/>
        <v>0.1428571429</v>
      </c>
      <c r="D6" s="14"/>
      <c r="E6" s="21" t="b">
        <v>0</v>
      </c>
      <c r="F6" s="21" t="b">
        <v>1</v>
      </c>
      <c r="G6" s="21" t="b">
        <v>0</v>
      </c>
      <c r="H6" s="21" t="b">
        <v>0</v>
      </c>
      <c r="I6" s="21" t="b">
        <v>0</v>
      </c>
      <c r="J6" s="21" t="b">
        <v>1</v>
      </c>
      <c r="K6" s="21" t="b">
        <v>1</v>
      </c>
      <c r="L6" s="21" t="b">
        <v>0</v>
      </c>
      <c r="M6" s="21" t="b">
        <v>0</v>
      </c>
      <c r="N6" s="21" t="b">
        <v>0</v>
      </c>
      <c r="O6" s="21" t="b">
        <v>0</v>
      </c>
      <c r="P6" s="21" t="b">
        <v>0</v>
      </c>
      <c r="Q6" s="21" t="b">
        <v>0</v>
      </c>
      <c r="R6" s="21" t="b">
        <v>0</v>
      </c>
      <c r="S6" s="21" t="b">
        <v>0</v>
      </c>
      <c r="T6" s="21" t="b">
        <v>0</v>
      </c>
      <c r="U6" s="21" t="b">
        <v>0</v>
      </c>
      <c r="V6" s="21" t="b">
        <v>0</v>
      </c>
      <c r="W6" s="21" t="b">
        <v>0</v>
      </c>
      <c r="X6" s="21" t="b">
        <v>0</v>
      </c>
      <c r="Y6" s="21" t="b">
        <v>0</v>
      </c>
    </row>
    <row r="7" ht="15.75" customHeight="1">
      <c r="A7" s="26" t="s">
        <v>54</v>
      </c>
      <c r="B7" s="14">
        <f t="shared" si="1"/>
        <v>0.2</v>
      </c>
      <c r="C7" s="14">
        <f t="shared" si="2"/>
        <v>0.09523809524</v>
      </c>
      <c r="D7" s="14"/>
      <c r="E7" s="21" t="b">
        <v>0</v>
      </c>
      <c r="F7" s="21" t="b">
        <v>0</v>
      </c>
      <c r="G7" s="21" t="b">
        <v>0</v>
      </c>
      <c r="H7" s="21" t="b">
        <v>0</v>
      </c>
      <c r="I7" s="21" t="b">
        <v>0</v>
      </c>
      <c r="J7" s="21" t="b">
        <v>1</v>
      </c>
      <c r="K7" s="21" t="b">
        <v>1</v>
      </c>
      <c r="L7" s="21" t="b">
        <v>0</v>
      </c>
      <c r="M7" s="21" t="b">
        <v>0</v>
      </c>
      <c r="N7" s="21" t="b">
        <v>0</v>
      </c>
      <c r="O7" s="21" t="b">
        <v>0</v>
      </c>
      <c r="P7" s="21" t="b">
        <v>0</v>
      </c>
      <c r="Q7" s="21" t="b">
        <v>0</v>
      </c>
      <c r="R7" s="21" t="b">
        <v>0</v>
      </c>
      <c r="S7" s="21" t="b">
        <v>0</v>
      </c>
      <c r="T7" s="21" t="b">
        <v>0</v>
      </c>
      <c r="U7" s="21" t="b">
        <v>0</v>
      </c>
      <c r="V7" s="21" t="b">
        <v>0</v>
      </c>
      <c r="W7" s="21" t="b">
        <v>0</v>
      </c>
      <c r="X7" s="21" t="b">
        <v>0</v>
      </c>
      <c r="Y7" s="21" t="b">
        <v>0</v>
      </c>
    </row>
    <row r="8" ht="15.75" customHeight="1">
      <c r="A8" s="26" t="s">
        <v>55</v>
      </c>
      <c r="B8" s="14">
        <f t="shared" si="1"/>
        <v>0.6</v>
      </c>
      <c r="C8" s="14">
        <f t="shared" si="2"/>
        <v>0.2857142857</v>
      </c>
      <c r="D8" s="14"/>
      <c r="E8" s="21" t="b">
        <v>0</v>
      </c>
      <c r="F8" s="21" t="b">
        <v>0</v>
      </c>
      <c r="G8" s="21" t="b">
        <v>1</v>
      </c>
      <c r="H8" s="21" t="b">
        <v>0</v>
      </c>
      <c r="I8" s="21" t="b">
        <v>1</v>
      </c>
      <c r="J8" s="21" t="b">
        <v>1</v>
      </c>
      <c r="K8" s="21" t="b">
        <v>1</v>
      </c>
      <c r="L8" s="21" t="b">
        <v>0</v>
      </c>
      <c r="M8" s="21" t="b">
        <v>1</v>
      </c>
      <c r="N8" s="21" t="b">
        <v>1</v>
      </c>
      <c r="O8" s="21" t="b">
        <v>0</v>
      </c>
      <c r="P8" s="21" t="b">
        <v>0</v>
      </c>
      <c r="Q8" s="21" t="b">
        <v>0</v>
      </c>
      <c r="R8" s="21" t="b">
        <v>0</v>
      </c>
      <c r="S8" s="21" t="b">
        <v>0</v>
      </c>
      <c r="T8" s="21" t="b">
        <v>0</v>
      </c>
      <c r="U8" s="21" t="b">
        <v>0</v>
      </c>
      <c r="V8" s="21" t="b">
        <v>0</v>
      </c>
      <c r="W8" s="21" t="b">
        <v>0</v>
      </c>
      <c r="X8" s="21" t="b">
        <v>0</v>
      </c>
      <c r="Y8" s="21" t="b">
        <v>0</v>
      </c>
    </row>
    <row r="9" ht="15.75" customHeight="1">
      <c r="A9" s="26" t="s">
        <v>56</v>
      </c>
      <c r="B9" s="14">
        <f t="shared" si="1"/>
        <v>0.6</v>
      </c>
      <c r="C9" s="14">
        <f t="shared" si="2"/>
        <v>0.2857142857</v>
      </c>
      <c r="D9" s="14"/>
      <c r="E9" s="21" t="b">
        <v>0</v>
      </c>
      <c r="F9" s="21" t="b">
        <v>1</v>
      </c>
      <c r="G9" s="21" t="b">
        <v>0</v>
      </c>
      <c r="H9" s="21" t="b">
        <v>1</v>
      </c>
      <c r="I9" s="21" t="b">
        <v>0</v>
      </c>
      <c r="J9" s="21" t="b">
        <v>1</v>
      </c>
      <c r="K9" s="21" t="b">
        <v>1</v>
      </c>
      <c r="L9" s="21" t="b">
        <v>0</v>
      </c>
      <c r="M9" s="21" t="b">
        <v>1</v>
      </c>
      <c r="N9" s="21" t="b">
        <v>1</v>
      </c>
      <c r="O9" s="21" t="b">
        <v>0</v>
      </c>
      <c r="P9" s="21" t="b">
        <v>0</v>
      </c>
      <c r="Q9" s="21" t="b">
        <v>0</v>
      </c>
      <c r="R9" s="21" t="b">
        <v>0</v>
      </c>
      <c r="S9" s="21" t="b">
        <v>0</v>
      </c>
      <c r="T9" s="21" t="b">
        <v>0</v>
      </c>
      <c r="U9" s="21" t="b">
        <v>0</v>
      </c>
      <c r="V9" s="21" t="b">
        <v>0</v>
      </c>
      <c r="W9" s="21" t="b">
        <v>0</v>
      </c>
      <c r="X9" s="21" t="b">
        <v>0</v>
      </c>
      <c r="Y9" s="21" t="b">
        <v>0</v>
      </c>
    </row>
    <row r="10" ht="15.75" customHeight="1">
      <c r="A10" s="26" t="s">
        <v>57</v>
      </c>
      <c r="B10" s="14">
        <f t="shared" si="1"/>
        <v>0.7</v>
      </c>
      <c r="C10" s="14">
        <f t="shared" si="2"/>
        <v>0.3333333333</v>
      </c>
      <c r="D10" s="14"/>
      <c r="E10" s="21" t="b">
        <v>0</v>
      </c>
      <c r="F10" s="21" t="b">
        <v>1</v>
      </c>
      <c r="G10" s="21" t="b">
        <v>1</v>
      </c>
      <c r="H10" s="21" t="b">
        <v>1</v>
      </c>
      <c r="I10" s="21" t="b">
        <v>0</v>
      </c>
      <c r="J10" s="21" t="b">
        <v>1</v>
      </c>
      <c r="K10" s="21" t="b">
        <v>1</v>
      </c>
      <c r="L10" s="21" t="b">
        <v>0</v>
      </c>
      <c r="M10" s="21" t="b">
        <v>1</v>
      </c>
      <c r="N10" s="21" t="b">
        <v>1</v>
      </c>
      <c r="O10" s="21" t="b">
        <v>0</v>
      </c>
      <c r="P10" s="21" t="b">
        <v>0</v>
      </c>
      <c r="Q10" s="21" t="b">
        <v>0</v>
      </c>
      <c r="R10" s="21" t="b">
        <v>0</v>
      </c>
      <c r="S10" s="21" t="b">
        <v>0</v>
      </c>
      <c r="T10" s="21" t="b">
        <v>0</v>
      </c>
      <c r="U10" s="21" t="b">
        <v>0</v>
      </c>
      <c r="V10" s="21" t="b">
        <v>0</v>
      </c>
      <c r="W10" s="21" t="b">
        <v>0</v>
      </c>
      <c r="X10" s="21" t="b">
        <v>0</v>
      </c>
      <c r="Y10" s="21" t="b">
        <v>0</v>
      </c>
    </row>
    <row r="11" ht="15.75" customHeight="1">
      <c r="A11" s="38" t="s">
        <v>58</v>
      </c>
      <c r="B11" s="14">
        <f t="shared" si="1"/>
        <v>0.2</v>
      </c>
      <c r="C11" s="14">
        <f t="shared" si="2"/>
        <v>0.09523809524</v>
      </c>
      <c r="D11" s="14"/>
      <c r="E11" s="21" t="b">
        <v>0</v>
      </c>
      <c r="F11" s="21" t="b">
        <v>0</v>
      </c>
      <c r="G11" s="21" t="b">
        <v>0</v>
      </c>
      <c r="H11" s="21" t="b">
        <v>0</v>
      </c>
      <c r="I11" s="21" t="b">
        <v>0</v>
      </c>
      <c r="J11" s="21" t="b">
        <v>1</v>
      </c>
      <c r="K11" s="21" t="b">
        <v>1</v>
      </c>
      <c r="L11" s="21" t="b">
        <v>0</v>
      </c>
      <c r="M11" s="21" t="b">
        <v>0</v>
      </c>
      <c r="N11" s="21" t="b">
        <v>0</v>
      </c>
      <c r="O11" s="21" t="b">
        <v>0</v>
      </c>
      <c r="P11" s="21" t="b">
        <v>0</v>
      </c>
      <c r="Q11" s="21" t="b">
        <v>0</v>
      </c>
      <c r="R11" s="21" t="b">
        <v>0</v>
      </c>
      <c r="S11" s="21" t="b">
        <v>0</v>
      </c>
      <c r="T11" s="21" t="b">
        <v>0</v>
      </c>
      <c r="U11" s="21" t="b">
        <v>0</v>
      </c>
      <c r="V11" s="21" t="b">
        <v>0</v>
      </c>
      <c r="W11" s="21" t="b">
        <v>0</v>
      </c>
      <c r="X11" s="21" t="b">
        <v>0</v>
      </c>
      <c r="Y11" s="21" t="b">
        <v>0</v>
      </c>
    </row>
    <row r="12" ht="15.75" customHeight="1">
      <c r="A12" s="26" t="s">
        <v>59</v>
      </c>
      <c r="B12" s="14">
        <f t="shared" si="1"/>
        <v>0.5</v>
      </c>
      <c r="C12" s="14">
        <f t="shared" si="2"/>
        <v>0.2380952381</v>
      </c>
      <c r="D12" s="14"/>
      <c r="E12" s="21" t="b">
        <v>0</v>
      </c>
      <c r="F12" s="21" t="b">
        <v>1</v>
      </c>
      <c r="G12" s="21" t="b">
        <v>1</v>
      </c>
      <c r="H12" s="21" t="b">
        <v>1</v>
      </c>
      <c r="I12" s="21" t="b">
        <v>0</v>
      </c>
      <c r="J12" s="21" t="b">
        <v>1</v>
      </c>
      <c r="K12" s="21" t="b">
        <v>1</v>
      </c>
      <c r="L12" s="21" t="b">
        <v>0</v>
      </c>
      <c r="M12" s="21" t="b">
        <v>0</v>
      </c>
      <c r="N12" s="21" t="b">
        <v>0</v>
      </c>
      <c r="O12" s="21" t="b">
        <v>0</v>
      </c>
      <c r="P12" s="21" t="b">
        <v>0</v>
      </c>
      <c r="Q12" s="21" t="b">
        <v>0</v>
      </c>
      <c r="R12" s="21" t="b">
        <v>0</v>
      </c>
      <c r="S12" s="21" t="b">
        <v>0</v>
      </c>
      <c r="T12" s="21" t="b">
        <v>0</v>
      </c>
      <c r="U12" s="21" t="b">
        <v>0</v>
      </c>
      <c r="V12" s="21" t="b">
        <v>0</v>
      </c>
      <c r="W12" s="21" t="b">
        <v>0</v>
      </c>
      <c r="X12" s="21" t="b">
        <v>0</v>
      </c>
      <c r="Y12" s="21" t="b">
        <v>0</v>
      </c>
    </row>
    <row r="13" ht="15.75" customHeight="1">
      <c r="A13" s="26" t="s">
        <v>60</v>
      </c>
      <c r="B13" s="14">
        <f t="shared" si="1"/>
        <v>0.6</v>
      </c>
      <c r="C13" s="14">
        <f t="shared" si="2"/>
        <v>0.2857142857</v>
      </c>
      <c r="D13" s="14"/>
      <c r="E13" s="21" t="b">
        <v>0</v>
      </c>
      <c r="F13" s="21" t="b">
        <v>1</v>
      </c>
      <c r="G13" s="21" t="b">
        <v>0</v>
      </c>
      <c r="H13" s="21" t="b">
        <v>1</v>
      </c>
      <c r="I13" s="21" t="b">
        <v>0</v>
      </c>
      <c r="J13" s="21" t="b">
        <v>1</v>
      </c>
      <c r="K13" s="21" t="b">
        <v>1</v>
      </c>
      <c r="L13" s="21" t="b">
        <v>0</v>
      </c>
      <c r="M13" s="21" t="b">
        <v>1</v>
      </c>
      <c r="N13" s="21" t="b">
        <v>1</v>
      </c>
      <c r="O13" s="21" t="b">
        <v>0</v>
      </c>
      <c r="P13" s="21" t="b">
        <v>0</v>
      </c>
      <c r="Q13" s="21" t="b">
        <v>0</v>
      </c>
      <c r="R13" s="21" t="b">
        <v>0</v>
      </c>
      <c r="S13" s="21" t="b">
        <v>0</v>
      </c>
      <c r="T13" s="21" t="b">
        <v>0</v>
      </c>
      <c r="U13" s="21" t="b">
        <v>0</v>
      </c>
      <c r="V13" s="21" t="b">
        <v>0</v>
      </c>
      <c r="W13" s="21" t="b">
        <v>0</v>
      </c>
      <c r="X13" s="21" t="b">
        <v>0</v>
      </c>
      <c r="Y13" s="21" t="b">
        <v>0</v>
      </c>
    </row>
    <row r="14" ht="15.75" customHeight="1">
      <c r="A14" s="26" t="s">
        <v>61</v>
      </c>
      <c r="B14" s="14">
        <f t="shared" si="1"/>
        <v>0.6</v>
      </c>
      <c r="C14" s="14">
        <f t="shared" si="2"/>
        <v>0.2857142857</v>
      </c>
      <c r="D14" s="14"/>
      <c r="E14" s="21" t="b">
        <v>0</v>
      </c>
      <c r="F14" s="21" t="b">
        <v>1</v>
      </c>
      <c r="G14" s="21" t="b">
        <v>1</v>
      </c>
      <c r="H14" s="21" t="b">
        <v>0</v>
      </c>
      <c r="I14" s="21" t="b">
        <v>0</v>
      </c>
      <c r="J14" s="21" t="b">
        <v>1</v>
      </c>
      <c r="K14" s="21" t="b">
        <v>1</v>
      </c>
      <c r="L14" s="21" t="b">
        <v>0</v>
      </c>
      <c r="M14" s="21" t="b">
        <v>1</v>
      </c>
      <c r="N14" s="21" t="b">
        <v>1</v>
      </c>
      <c r="O14" s="21" t="b">
        <v>0</v>
      </c>
      <c r="P14" s="21" t="b">
        <v>0</v>
      </c>
      <c r="Q14" s="21" t="b">
        <v>0</v>
      </c>
      <c r="R14" s="21" t="b">
        <v>0</v>
      </c>
      <c r="S14" s="21" t="b">
        <v>0</v>
      </c>
      <c r="T14" s="21" t="b">
        <v>0</v>
      </c>
      <c r="U14" s="21" t="b">
        <v>0</v>
      </c>
      <c r="V14" s="21" t="b">
        <v>0</v>
      </c>
      <c r="W14" s="21" t="b">
        <v>0</v>
      </c>
      <c r="X14" s="21" t="b">
        <v>0</v>
      </c>
      <c r="Y14" s="21" t="b">
        <v>0</v>
      </c>
    </row>
    <row r="15" ht="15.75" customHeight="1">
      <c r="A15" s="26" t="s">
        <v>62</v>
      </c>
      <c r="B15" s="14">
        <f t="shared" si="1"/>
        <v>0.4</v>
      </c>
      <c r="C15" s="14">
        <f t="shared" si="2"/>
        <v>0.1904761905</v>
      </c>
      <c r="D15" s="14"/>
      <c r="E15" s="21" t="b">
        <v>0</v>
      </c>
      <c r="F15" s="21" t="b">
        <v>1</v>
      </c>
      <c r="G15" s="21" t="b">
        <v>0</v>
      </c>
      <c r="H15" s="21" t="b">
        <v>0</v>
      </c>
      <c r="I15" s="21" t="b">
        <v>1</v>
      </c>
      <c r="J15" s="21" t="b">
        <v>1</v>
      </c>
      <c r="K15" s="21" t="b">
        <v>1</v>
      </c>
      <c r="L15" s="21" t="b">
        <v>0</v>
      </c>
      <c r="M15" s="21" t="b">
        <v>0</v>
      </c>
      <c r="N15" s="21" t="b">
        <v>0</v>
      </c>
      <c r="O15" s="21" t="b">
        <v>0</v>
      </c>
      <c r="P15" s="21" t="b">
        <v>0</v>
      </c>
      <c r="Q15" s="21" t="b">
        <v>0</v>
      </c>
      <c r="R15" s="21" t="b">
        <v>0</v>
      </c>
      <c r="S15" s="21" t="b">
        <v>0</v>
      </c>
      <c r="T15" s="21" t="b">
        <v>0</v>
      </c>
      <c r="U15" s="21" t="b">
        <v>0</v>
      </c>
      <c r="V15" s="21" t="b">
        <v>0</v>
      </c>
      <c r="W15" s="21" t="b">
        <v>0</v>
      </c>
      <c r="X15" s="21" t="b">
        <v>0</v>
      </c>
      <c r="Y15" s="21" t="b">
        <v>0</v>
      </c>
    </row>
    <row r="16" ht="15.75" customHeight="1">
      <c r="A16" s="26" t="s">
        <v>63</v>
      </c>
      <c r="B16" s="14">
        <f t="shared" si="1"/>
        <v>0.4</v>
      </c>
      <c r="C16" s="14">
        <f t="shared" si="2"/>
        <v>0.1904761905</v>
      </c>
      <c r="D16" s="14"/>
      <c r="E16" s="21" t="b">
        <v>0</v>
      </c>
      <c r="F16" s="21" t="b">
        <v>1</v>
      </c>
      <c r="G16" s="21" t="b">
        <v>0</v>
      </c>
      <c r="H16" s="21" t="b">
        <v>1</v>
      </c>
      <c r="I16" s="21" t="b">
        <v>0</v>
      </c>
      <c r="J16" s="21" t="b">
        <v>1</v>
      </c>
      <c r="K16" s="21" t="b">
        <v>1</v>
      </c>
      <c r="L16" s="21" t="b">
        <v>0</v>
      </c>
      <c r="M16" s="21" t="b">
        <v>0</v>
      </c>
      <c r="N16" s="21" t="b">
        <v>0</v>
      </c>
      <c r="O16" s="21" t="b">
        <v>0</v>
      </c>
      <c r="P16" s="21" t="b">
        <v>0</v>
      </c>
      <c r="Q16" s="21" t="b">
        <v>0</v>
      </c>
      <c r="R16" s="21" t="b">
        <v>0</v>
      </c>
      <c r="S16" s="21" t="b">
        <v>0</v>
      </c>
      <c r="T16" s="21" t="b">
        <v>0</v>
      </c>
      <c r="U16" s="21" t="b">
        <v>0</v>
      </c>
      <c r="V16" s="21" t="b">
        <v>0</v>
      </c>
      <c r="W16" s="21" t="b">
        <v>0</v>
      </c>
      <c r="X16" s="21" t="b">
        <v>0</v>
      </c>
      <c r="Y16" s="21" t="b">
        <v>0</v>
      </c>
    </row>
    <row r="17" ht="15.75" customHeight="1">
      <c r="A17" s="10" t="s">
        <v>64</v>
      </c>
      <c r="B17" s="10">
        <v>10.0</v>
      </c>
      <c r="C17" s="10">
        <v>21.0</v>
      </c>
      <c r="E17" s="10">
        <f t="shared" ref="E17:Y17" si="3">COUNTIF(E2:E16, TRUE)</f>
        <v>0</v>
      </c>
      <c r="F17" s="10">
        <f t="shared" si="3"/>
        <v>10</v>
      </c>
      <c r="G17" s="10">
        <f t="shared" si="3"/>
        <v>5</v>
      </c>
      <c r="H17" s="10">
        <f t="shared" si="3"/>
        <v>7</v>
      </c>
      <c r="I17" s="10">
        <f t="shared" si="3"/>
        <v>2</v>
      </c>
      <c r="J17" s="10">
        <f t="shared" si="3"/>
        <v>15</v>
      </c>
      <c r="K17" s="10">
        <f t="shared" si="3"/>
        <v>15</v>
      </c>
      <c r="L17" s="10">
        <f t="shared" si="3"/>
        <v>0</v>
      </c>
      <c r="M17" s="10">
        <f t="shared" si="3"/>
        <v>8</v>
      </c>
      <c r="N17" s="10">
        <f t="shared" si="3"/>
        <v>8</v>
      </c>
      <c r="O17" s="10">
        <f t="shared" si="3"/>
        <v>0</v>
      </c>
      <c r="P17" s="10">
        <f t="shared" si="3"/>
        <v>0</v>
      </c>
      <c r="Q17" s="10">
        <f t="shared" si="3"/>
        <v>0</v>
      </c>
      <c r="R17" s="10">
        <f t="shared" si="3"/>
        <v>0</v>
      </c>
      <c r="S17" s="10">
        <f t="shared" si="3"/>
        <v>0</v>
      </c>
      <c r="T17" s="10">
        <f t="shared" si="3"/>
        <v>0</v>
      </c>
      <c r="U17" s="10">
        <f t="shared" si="3"/>
        <v>0</v>
      </c>
      <c r="V17" s="10">
        <f t="shared" si="3"/>
        <v>0</v>
      </c>
      <c r="W17" s="10">
        <f t="shared" si="3"/>
        <v>0</v>
      </c>
      <c r="X17" s="10">
        <f t="shared" si="3"/>
        <v>0</v>
      </c>
      <c r="Y17" s="10">
        <f t="shared" si="3"/>
        <v>0</v>
      </c>
    </row>
    <row r="18" ht="15.75" customHeight="1"/>
    <row r="19" ht="15.75" customHeight="1"/>
    <row r="20" ht="15.75" customHeight="1"/>
    <row r="21" ht="15.75" customHeight="1">
      <c r="B21" s="10" t="s">
        <v>177</v>
      </c>
    </row>
    <row r="22" ht="15.75" customHeight="1">
      <c r="A22" s="10"/>
      <c r="E22" s="33" t="s">
        <v>65</v>
      </c>
    </row>
    <row r="23" ht="15.75" customHeight="1">
      <c r="A23" s="10"/>
      <c r="E23" s="34" t="s">
        <v>66</v>
      </c>
    </row>
    <row r="24" ht="15.75" customHeight="1">
      <c r="E24" s="36" t="s">
        <v>28</v>
      </c>
    </row>
    <row r="25" ht="15.75" customHeight="1">
      <c r="E25" s="37" t="s">
        <v>68</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E2:Y16">
    <cfRule type="cellIs" dxfId="0" priority="1" operator="equal">
      <formula>"TRUE"</formula>
    </cfRule>
  </conditionalFormatting>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xSplit="1.0" topLeftCell="B1" activePane="topRight" state="frozen"/>
      <selection activeCell="C2" sqref="C2" pane="topRight"/>
    </sheetView>
  </sheetViews>
  <sheetFormatPr customHeight="1" defaultColWidth="12.63" defaultRowHeight="15.0"/>
  <cols>
    <col customWidth="1" min="1" max="1" width="12.63"/>
    <col customWidth="1" min="2" max="2" width="6.63"/>
    <col customWidth="1" min="3" max="4" width="7.38"/>
    <col customWidth="1" min="5" max="6" width="12.63"/>
  </cols>
  <sheetData>
    <row r="1" ht="15.75" customHeight="1">
      <c r="B1" s="10" t="s">
        <v>29</v>
      </c>
      <c r="C1" s="10" t="s">
        <v>30</v>
      </c>
      <c r="D1" s="10" t="s">
        <v>31</v>
      </c>
      <c r="E1" s="21" t="s">
        <v>178</v>
      </c>
      <c r="F1" s="21" t="s">
        <v>179</v>
      </c>
      <c r="G1" s="21" t="s">
        <v>180</v>
      </c>
      <c r="H1" s="21" t="s">
        <v>181</v>
      </c>
      <c r="I1" s="21" t="s">
        <v>182</v>
      </c>
      <c r="J1" s="21" t="s">
        <v>183</v>
      </c>
      <c r="K1" s="21" t="s">
        <v>184</v>
      </c>
      <c r="L1" s="21" t="s">
        <v>185</v>
      </c>
      <c r="M1" s="21" t="s">
        <v>186</v>
      </c>
      <c r="N1" s="21" t="s">
        <v>187</v>
      </c>
      <c r="O1" s="21" t="s">
        <v>188</v>
      </c>
      <c r="P1" s="23" t="s">
        <v>189</v>
      </c>
      <c r="Q1" s="23" t="s">
        <v>190</v>
      </c>
      <c r="R1" s="23" t="s">
        <v>93</v>
      </c>
      <c r="S1" s="23" t="s">
        <v>93</v>
      </c>
      <c r="T1" s="23" t="s">
        <v>93</v>
      </c>
      <c r="U1" s="25" t="s">
        <v>157</v>
      </c>
      <c r="V1" s="25" t="s">
        <v>157</v>
      </c>
      <c r="W1" s="25" t="s">
        <v>157</v>
      </c>
      <c r="X1" s="25" t="s">
        <v>157</v>
      </c>
      <c r="Y1" s="25" t="s">
        <v>157</v>
      </c>
      <c r="Z1" s="25" t="s">
        <v>157</v>
      </c>
      <c r="AA1" s="25" t="s">
        <v>157</v>
      </c>
      <c r="AB1" s="25" t="s">
        <v>157</v>
      </c>
      <c r="AC1" s="24" t="s">
        <v>191</v>
      </c>
      <c r="AD1" s="24" t="s">
        <v>192</v>
      </c>
      <c r="AE1" s="24" t="s">
        <v>193</v>
      </c>
      <c r="AF1" s="24" t="s">
        <v>194</v>
      </c>
      <c r="AG1" s="24" t="s">
        <v>195</v>
      </c>
      <c r="AH1" s="45" t="s">
        <v>196</v>
      </c>
      <c r="AI1" s="24" t="s">
        <v>197</v>
      </c>
      <c r="AJ1" s="21"/>
    </row>
    <row r="2" ht="15.75" customHeight="1">
      <c r="A2" s="26" t="s">
        <v>49</v>
      </c>
      <c r="B2" s="14">
        <f t="shared" ref="B2:B16" si="1">COUNTIF(E2:T2, TRUE) / COUNTA(E2:T2)</f>
        <v>0.8125</v>
      </c>
      <c r="C2" s="14">
        <f t="shared" ref="C2:C16" si="2">COUNTIF(E2:AI2, TRUE) / COUNTA(E2:AI2)</f>
        <v>0.4193548387</v>
      </c>
      <c r="D2" s="14"/>
      <c r="E2" s="21" t="b">
        <v>1</v>
      </c>
      <c r="F2" s="21" t="b">
        <v>1</v>
      </c>
      <c r="G2" s="21" t="b">
        <v>1</v>
      </c>
      <c r="H2" s="21" t="b">
        <v>1</v>
      </c>
      <c r="I2" s="21" t="b">
        <v>1</v>
      </c>
      <c r="J2" s="21" t="b">
        <v>0</v>
      </c>
      <c r="K2" s="21" t="b">
        <v>1</v>
      </c>
      <c r="L2" s="21" t="b">
        <v>1</v>
      </c>
      <c r="M2" s="21" t="b">
        <v>0</v>
      </c>
      <c r="N2" s="21" t="b">
        <v>0</v>
      </c>
      <c r="O2" s="21" t="b">
        <v>1</v>
      </c>
      <c r="P2" s="21" t="b">
        <v>1</v>
      </c>
      <c r="Q2" s="21" t="b">
        <v>1</v>
      </c>
      <c r="R2" s="21" t="b">
        <v>1</v>
      </c>
      <c r="S2" s="21" t="b">
        <v>1</v>
      </c>
      <c r="T2" s="21" t="b">
        <v>1</v>
      </c>
      <c r="U2" s="21" t="b">
        <v>0</v>
      </c>
      <c r="V2" s="21" t="b">
        <v>0</v>
      </c>
      <c r="W2" s="21" t="b">
        <v>0</v>
      </c>
      <c r="X2" s="21" t="b">
        <v>0</v>
      </c>
      <c r="Y2" s="21" t="b">
        <v>0</v>
      </c>
      <c r="Z2" s="21" t="b">
        <v>0</v>
      </c>
      <c r="AA2" s="21" t="b">
        <v>0</v>
      </c>
      <c r="AB2" s="21" t="b">
        <v>0</v>
      </c>
      <c r="AC2" s="21" t="b">
        <v>0</v>
      </c>
      <c r="AD2" s="21" t="b">
        <v>0</v>
      </c>
      <c r="AE2" s="21" t="b">
        <v>0</v>
      </c>
      <c r="AF2" s="21" t="b">
        <v>0</v>
      </c>
      <c r="AG2" s="21" t="b">
        <v>0</v>
      </c>
      <c r="AH2" s="21" t="b">
        <v>0</v>
      </c>
      <c r="AI2" s="21" t="b">
        <v>0</v>
      </c>
      <c r="AJ2" s="21"/>
    </row>
    <row r="3" ht="15.75" customHeight="1">
      <c r="A3" s="26" t="s">
        <v>50</v>
      </c>
      <c r="B3" s="14">
        <f t="shared" si="1"/>
        <v>0.9375</v>
      </c>
      <c r="C3" s="14">
        <f t="shared" si="2"/>
        <v>0.4838709677</v>
      </c>
      <c r="D3" s="10" t="s">
        <v>31</v>
      </c>
      <c r="E3" s="21" t="b">
        <v>1</v>
      </c>
      <c r="F3" s="21" t="b">
        <v>1</v>
      </c>
      <c r="G3" s="21" t="b">
        <v>1</v>
      </c>
      <c r="H3" s="21" t="b">
        <v>1</v>
      </c>
      <c r="I3" s="21" t="b">
        <v>1</v>
      </c>
      <c r="J3" s="21" t="b">
        <v>1</v>
      </c>
      <c r="K3" s="21" t="b">
        <v>1</v>
      </c>
      <c r="L3" s="21" t="b">
        <v>1</v>
      </c>
      <c r="M3" s="21" t="b">
        <v>1</v>
      </c>
      <c r="N3" s="21" t="b">
        <v>1</v>
      </c>
      <c r="O3" s="21" t="b">
        <v>0</v>
      </c>
      <c r="P3" s="21" t="b">
        <v>1</v>
      </c>
      <c r="Q3" s="21" t="b">
        <v>1</v>
      </c>
      <c r="R3" s="21" t="b">
        <v>1</v>
      </c>
      <c r="S3" s="21" t="b">
        <v>1</v>
      </c>
      <c r="T3" s="21" t="b">
        <v>1</v>
      </c>
      <c r="U3" s="21" t="b">
        <v>0</v>
      </c>
      <c r="V3" s="21" t="b">
        <v>0</v>
      </c>
      <c r="W3" s="21" t="b">
        <v>0</v>
      </c>
      <c r="X3" s="21" t="b">
        <v>0</v>
      </c>
      <c r="Y3" s="21" t="b">
        <v>0</v>
      </c>
      <c r="Z3" s="21" t="b">
        <v>0</v>
      </c>
      <c r="AA3" s="21" t="b">
        <v>0</v>
      </c>
      <c r="AB3" s="21" t="b">
        <v>0</v>
      </c>
      <c r="AC3" s="21" t="b">
        <v>0</v>
      </c>
      <c r="AD3" s="21" t="b">
        <v>0</v>
      </c>
      <c r="AE3" s="21" t="b">
        <v>0</v>
      </c>
      <c r="AF3" s="21" t="b">
        <v>0</v>
      </c>
      <c r="AG3" s="21" t="b">
        <v>0</v>
      </c>
      <c r="AH3" s="21" t="b">
        <v>0</v>
      </c>
      <c r="AI3" s="21" t="b">
        <v>0</v>
      </c>
      <c r="AJ3" s="21"/>
    </row>
    <row r="4" ht="15.75" customHeight="1">
      <c r="A4" s="26" t="s">
        <v>51</v>
      </c>
      <c r="B4" s="14">
        <f t="shared" si="1"/>
        <v>0.625</v>
      </c>
      <c r="C4" s="14">
        <f t="shared" si="2"/>
        <v>0.3870967742</v>
      </c>
      <c r="D4" s="14"/>
      <c r="E4" s="21" t="b">
        <v>1</v>
      </c>
      <c r="F4" s="21" t="b">
        <v>1</v>
      </c>
      <c r="G4" s="21" t="b">
        <v>1</v>
      </c>
      <c r="H4" s="21" t="b">
        <v>0</v>
      </c>
      <c r="I4" s="21" t="b">
        <v>0</v>
      </c>
      <c r="J4" s="21" t="b">
        <v>0</v>
      </c>
      <c r="K4" s="21" t="b">
        <v>1</v>
      </c>
      <c r="L4" s="21" t="b">
        <v>1</v>
      </c>
      <c r="M4" s="21" t="b">
        <v>0</v>
      </c>
      <c r="N4" s="21" t="b">
        <v>0</v>
      </c>
      <c r="O4" s="21" t="b">
        <v>0</v>
      </c>
      <c r="P4" s="21" t="b">
        <v>1</v>
      </c>
      <c r="Q4" s="21" t="b">
        <v>1</v>
      </c>
      <c r="R4" s="21" t="b">
        <v>1</v>
      </c>
      <c r="S4" s="21" t="b">
        <v>1</v>
      </c>
      <c r="T4" s="21" t="b">
        <v>1</v>
      </c>
      <c r="U4" s="21" t="b">
        <v>1</v>
      </c>
      <c r="V4" s="21" t="b">
        <v>0</v>
      </c>
      <c r="W4" s="21" t="b">
        <v>0</v>
      </c>
      <c r="X4" s="21" t="b">
        <v>0</v>
      </c>
      <c r="Y4" s="21" t="b">
        <v>0</v>
      </c>
      <c r="Z4" s="21" t="b">
        <v>0</v>
      </c>
      <c r="AA4" s="21" t="b">
        <v>0</v>
      </c>
      <c r="AB4" s="21" t="b">
        <v>0</v>
      </c>
      <c r="AC4" s="21" t="b">
        <v>0</v>
      </c>
      <c r="AD4" s="21" t="b">
        <v>0</v>
      </c>
      <c r="AE4" s="21" t="b">
        <v>1</v>
      </c>
      <c r="AF4" s="21" t="b">
        <v>0</v>
      </c>
      <c r="AG4" s="21" t="b">
        <v>0</v>
      </c>
      <c r="AH4" s="21" t="b">
        <v>0</v>
      </c>
      <c r="AI4" s="21" t="b">
        <v>0</v>
      </c>
      <c r="AJ4" s="21"/>
    </row>
    <row r="5" ht="15.75" customHeight="1">
      <c r="A5" s="26" t="s">
        <v>52</v>
      </c>
      <c r="B5" s="14">
        <f t="shared" si="1"/>
        <v>0.875</v>
      </c>
      <c r="C5" s="14">
        <f t="shared" si="2"/>
        <v>0.4516129032</v>
      </c>
      <c r="D5" s="10" t="s">
        <v>31</v>
      </c>
      <c r="E5" s="21" t="b">
        <v>1</v>
      </c>
      <c r="F5" s="21" t="b">
        <v>1</v>
      </c>
      <c r="G5" s="46" t="b">
        <v>1</v>
      </c>
      <c r="H5" s="21" t="b">
        <v>1</v>
      </c>
      <c r="I5" s="46" t="b">
        <v>1</v>
      </c>
      <c r="J5" s="46" t="b">
        <v>1</v>
      </c>
      <c r="K5" s="21" t="b">
        <v>1</v>
      </c>
      <c r="L5" s="21" t="b">
        <v>1</v>
      </c>
      <c r="M5" s="21" t="b">
        <v>1</v>
      </c>
      <c r="N5" s="21" t="b">
        <v>0</v>
      </c>
      <c r="O5" s="21" t="b">
        <v>0</v>
      </c>
      <c r="P5" s="21" t="b">
        <v>1</v>
      </c>
      <c r="Q5" s="21" t="b">
        <v>1</v>
      </c>
      <c r="R5" s="21" t="b">
        <v>1</v>
      </c>
      <c r="S5" s="21" t="b">
        <v>1</v>
      </c>
      <c r="T5" s="21" t="b">
        <v>1</v>
      </c>
      <c r="U5" s="21" t="b">
        <v>0</v>
      </c>
      <c r="V5" s="21" t="b">
        <v>0</v>
      </c>
      <c r="W5" s="21" t="b">
        <v>0</v>
      </c>
      <c r="X5" s="21" t="b">
        <v>0</v>
      </c>
      <c r="Y5" s="21" t="b">
        <v>0</v>
      </c>
      <c r="Z5" s="21" t="b">
        <v>0</v>
      </c>
      <c r="AA5" s="21" t="b">
        <v>0</v>
      </c>
      <c r="AB5" s="21" t="b">
        <v>0</v>
      </c>
      <c r="AC5" s="21" t="b">
        <v>0</v>
      </c>
      <c r="AD5" s="21" t="b">
        <v>0</v>
      </c>
      <c r="AE5" s="21" t="b">
        <v>0</v>
      </c>
      <c r="AF5" s="21" t="b">
        <v>0</v>
      </c>
      <c r="AG5" s="21" t="b">
        <v>0</v>
      </c>
      <c r="AH5" s="21" t="b">
        <v>0</v>
      </c>
      <c r="AI5" s="21" t="b">
        <v>0</v>
      </c>
      <c r="AJ5" s="21"/>
    </row>
    <row r="6" ht="15.75" customHeight="1">
      <c r="A6" s="26" t="s">
        <v>53</v>
      </c>
      <c r="B6" s="14">
        <f t="shared" si="1"/>
        <v>0.8125</v>
      </c>
      <c r="C6" s="14">
        <f t="shared" si="2"/>
        <v>0.4193548387</v>
      </c>
      <c r="D6" s="10" t="s">
        <v>31</v>
      </c>
      <c r="E6" s="21" t="b">
        <v>1</v>
      </c>
      <c r="F6" s="21" t="b">
        <v>1</v>
      </c>
      <c r="G6" s="21" t="b">
        <v>1</v>
      </c>
      <c r="H6" s="21" t="b">
        <v>1</v>
      </c>
      <c r="I6" s="21" t="b">
        <v>1</v>
      </c>
      <c r="J6" s="21" t="b">
        <v>1</v>
      </c>
      <c r="K6" s="21" t="b">
        <v>1</v>
      </c>
      <c r="L6" s="21" t="b">
        <v>1</v>
      </c>
      <c r="M6" s="21" t="b">
        <v>0</v>
      </c>
      <c r="N6" s="21" t="b">
        <v>0</v>
      </c>
      <c r="O6" s="21" t="b">
        <v>0</v>
      </c>
      <c r="P6" s="21" t="b">
        <v>1</v>
      </c>
      <c r="Q6" s="21" t="b">
        <v>1</v>
      </c>
      <c r="R6" s="21" t="b">
        <v>1</v>
      </c>
      <c r="S6" s="21" t="b">
        <v>1</v>
      </c>
      <c r="T6" s="21" t="b">
        <v>1</v>
      </c>
      <c r="U6" s="21" t="b">
        <v>0</v>
      </c>
      <c r="V6" s="21" t="b">
        <v>0</v>
      </c>
      <c r="W6" s="21" t="b">
        <v>0</v>
      </c>
      <c r="X6" s="21" t="b">
        <v>0</v>
      </c>
      <c r="Y6" s="21" t="b">
        <v>0</v>
      </c>
      <c r="Z6" s="21" t="b">
        <v>0</v>
      </c>
      <c r="AA6" s="21" t="b">
        <v>0</v>
      </c>
      <c r="AB6" s="21" t="b">
        <v>0</v>
      </c>
      <c r="AC6" s="21" t="b">
        <v>0</v>
      </c>
      <c r="AD6" s="21" t="b">
        <v>0</v>
      </c>
      <c r="AE6" s="21" t="b">
        <v>0</v>
      </c>
      <c r="AF6" s="21" t="b">
        <v>0</v>
      </c>
      <c r="AG6" s="21" t="b">
        <v>0</v>
      </c>
      <c r="AH6" s="21" t="b">
        <v>0</v>
      </c>
      <c r="AI6" s="21" t="b">
        <v>0</v>
      </c>
      <c r="AJ6" s="21"/>
    </row>
    <row r="7" ht="15.75" customHeight="1">
      <c r="A7" s="26" t="s">
        <v>54</v>
      </c>
      <c r="B7" s="14">
        <f t="shared" si="1"/>
        <v>0.625</v>
      </c>
      <c r="C7" s="14">
        <f t="shared" si="2"/>
        <v>0.3225806452</v>
      </c>
      <c r="D7" s="14"/>
      <c r="E7" s="21" t="b">
        <v>1</v>
      </c>
      <c r="F7" s="21" t="b">
        <v>1</v>
      </c>
      <c r="G7" s="21" t="b">
        <v>0</v>
      </c>
      <c r="H7" s="21" t="b">
        <v>0</v>
      </c>
      <c r="I7" s="21" t="b">
        <v>0</v>
      </c>
      <c r="J7" s="21" t="b">
        <v>0</v>
      </c>
      <c r="K7" s="21" t="b">
        <v>1</v>
      </c>
      <c r="L7" s="21" t="b">
        <v>1</v>
      </c>
      <c r="M7" s="21" t="b">
        <v>1</v>
      </c>
      <c r="N7" s="21" t="b">
        <v>0</v>
      </c>
      <c r="O7" s="21" t="b">
        <v>0</v>
      </c>
      <c r="P7" s="21" t="b">
        <v>1</v>
      </c>
      <c r="Q7" s="21" t="b">
        <v>1</v>
      </c>
      <c r="R7" s="21" t="b">
        <v>1</v>
      </c>
      <c r="S7" s="21" t="b">
        <v>1</v>
      </c>
      <c r="T7" s="21" t="b">
        <v>1</v>
      </c>
      <c r="U7" s="21" t="b">
        <v>0</v>
      </c>
      <c r="V7" s="21" t="b">
        <v>0</v>
      </c>
      <c r="W7" s="21" t="b">
        <v>0</v>
      </c>
      <c r="X7" s="21" t="b">
        <v>0</v>
      </c>
      <c r="Y7" s="21" t="b">
        <v>0</v>
      </c>
      <c r="Z7" s="21" t="b">
        <v>0</v>
      </c>
      <c r="AA7" s="21" t="b">
        <v>0</v>
      </c>
      <c r="AB7" s="21" t="b">
        <v>0</v>
      </c>
      <c r="AC7" s="21" t="b">
        <v>0</v>
      </c>
      <c r="AD7" s="21" t="b">
        <v>0</v>
      </c>
      <c r="AE7" s="21" t="b">
        <v>0</v>
      </c>
      <c r="AF7" s="21" t="b">
        <v>0</v>
      </c>
      <c r="AG7" s="21" t="b">
        <v>0</v>
      </c>
      <c r="AH7" s="21" t="b">
        <v>0</v>
      </c>
      <c r="AI7" s="21" t="b">
        <v>0</v>
      </c>
      <c r="AJ7" s="21"/>
    </row>
    <row r="8" ht="15.75" customHeight="1">
      <c r="A8" s="26" t="s">
        <v>55</v>
      </c>
      <c r="B8" s="14">
        <f t="shared" si="1"/>
        <v>0.875</v>
      </c>
      <c r="C8" s="14">
        <f t="shared" si="2"/>
        <v>0.4516129032</v>
      </c>
      <c r="D8" s="10" t="s">
        <v>31</v>
      </c>
      <c r="E8" s="21" t="b">
        <v>1</v>
      </c>
      <c r="F8" s="21" t="b">
        <v>1</v>
      </c>
      <c r="G8" s="21" t="b">
        <v>1</v>
      </c>
      <c r="H8" s="21" t="b">
        <v>1</v>
      </c>
      <c r="I8" s="21" t="b">
        <v>1</v>
      </c>
      <c r="J8" s="21" t="b">
        <v>1</v>
      </c>
      <c r="K8" s="21" t="b">
        <v>1</v>
      </c>
      <c r="L8" s="21" t="b">
        <v>1</v>
      </c>
      <c r="M8" s="21" t="b">
        <v>1</v>
      </c>
      <c r="N8" s="21" t="b">
        <v>0</v>
      </c>
      <c r="O8" s="21" t="b">
        <v>0</v>
      </c>
      <c r="P8" s="21" t="b">
        <v>1</v>
      </c>
      <c r="Q8" s="21" t="b">
        <v>1</v>
      </c>
      <c r="R8" s="21" t="b">
        <v>1</v>
      </c>
      <c r="S8" s="21" t="b">
        <v>1</v>
      </c>
      <c r="T8" s="21" t="b">
        <v>1</v>
      </c>
      <c r="U8" s="21" t="b">
        <v>0</v>
      </c>
      <c r="V8" s="21" t="b">
        <v>0</v>
      </c>
      <c r="W8" s="21" t="b">
        <v>0</v>
      </c>
      <c r="X8" s="21" t="b">
        <v>0</v>
      </c>
      <c r="Y8" s="21" t="b">
        <v>0</v>
      </c>
      <c r="Z8" s="21" t="b">
        <v>0</v>
      </c>
      <c r="AA8" s="21" t="b">
        <v>0</v>
      </c>
      <c r="AB8" s="21" t="b">
        <v>0</v>
      </c>
      <c r="AC8" s="21" t="b">
        <v>0</v>
      </c>
      <c r="AD8" s="21" t="b">
        <v>0</v>
      </c>
      <c r="AE8" s="21" t="b">
        <v>0</v>
      </c>
      <c r="AF8" s="21" t="b">
        <v>0</v>
      </c>
      <c r="AG8" s="21" t="b">
        <v>0</v>
      </c>
      <c r="AH8" s="21" t="b">
        <v>0</v>
      </c>
      <c r="AI8" s="21" t="b">
        <v>0</v>
      </c>
      <c r="AJ8" s="21"/>
    </row>
    <row r="9" ht="15.75" customHeight="1">
      <c r="A9" s="26" t="s">
        <v>56</v>
      </c>
      <c r="B9" s="14">
        <f t="shared" si="1"/>
        <v>0.625</v>
      </c>
      <c r="C9" s="14">
        <f t="shared" si="2"/>
        <v>0.3548387097</v>
      </c>
      <c r="D9" s="14"/>
      <c r="E9" s="21" t="b">
        <v>1</v>
      </c>
      <c r="F9" s="21" t="b">
        <v>1</v>
      </c>
      <c r="G9" s="21" t="b">
        <v>1</v>
      </c>
      <c r="H9" s="21" t="b">
        <v>1</v>
      </c>
      <c r="I9" s="21" t="b">
        <v>1</v>
      </c>
      <c r="J9" s="21" t="b">
        <v>0</v>
      </c>
      <c r="K9" s="21" t="b">
        <v>0</v>
      </c>
      <c r="L9" s="21" t="b">
        <v>0</v>
      </c>
      <c r="M9" s="21" t="b">
        <v>0</v>
      </c>
      <c r="N9" s="21" t="b">
        <v>0</v>
      </c>
      <c r="O9" s="21" t="b">
        <v>0</v>
      </c>
      <c r="P9" s="21" t="b">
        <v>1</v>
      </c>
      <c r="Q9" s="21" t="b">
        <v>1</v>
      </c>
      <c r="R9" s="21" t="b">
        <v>1</v>
      </c>
      <c r="S9" s="21" t="b">
        <v>1</v>
      </c>
      <c r="T9" s="21" t="b">
        <v>1</v>
      </c>
      <c r="U9" s="21" t="b">
        <v>1</v>
      </c>
      <c r="V9" s="21" t="b">
        <v>0</v>
      </c>
      <c r="W9" s="21" t="b">
        <v>0</v>
      </c>
      <c r="X9" s="21" t="b">
        <v>0</v>
      </c>
      <c r="Y9" s="21" t="b">
        <v>0</v>
      </c>
      <c r="Z9" s="21" t="b">
        <v>0</v>
      </c>
      <c r="AA9" s="21" t="b">
        <v>0</v>
      </c>
      <c r="AB9" s="21" t="b">
        <v>0</v>
      </c>
      <c r="AC9" s="21" t="b">
        <v>0</v>
      </c>
      <c r="AD9" s="21" t="b">
        <v>0</v>
      </c>
      <c r="AE9" s="21" t="b">
        <v>0</v>
      </c>
      <c r="AF9" s="21" t="b">
        <v>0</v>
      </c>
      <c r="AG9" s="21" t="b">
        <v>0</v>
      </c>
      <c r="AH9" s="21" t="b">
        <v>0</v>
      </c>
      <c r="AI9" s="21" t="b">
        <v>0</v>
      </c>
      <c r="AJ9" s="21"/>
    </row>
    <row r="10" ht="15.75" customHeight="1">
      <c r="A10" s="26" t="s">
        <v>57</v>
      </c>
      <c r="B10" s="14">
        <f t="shared" si="1"/>
        <v>0.6875</v>
      </c>
      <c r="C10" s="14">
        <f t="shared" si="2"/>
        <v>0.3870967742</v>
      </c>
      <c r="D10" s="14"/>
      <c r="E10" s="21" t="b">
        <v>0</v>
      </c>
      <c r="F10" s="21" t="b">
        <v>1</v>
      </c>
      <c r="G10" s="21" t="b">
        <v>1</v>
      </c>
      <c r="H10" s="21" t="b">
        <v>1</v>
      </c>
      <c r="I10" s="21" t="b">
        <v>1</v>
      </c>
      <c r="J10" s="21" t="b">
        <v>0</v>
      </c>
      <c r="K10" s="21" t="b">
        <v>0</v>
      </c>
      <c r="L10" s="21" t="b">
        <v>0</v>
      </c>
      <c r="M10" s="21" t="b">
        <v>1</v>
      </c>
      <c r="N10" s="21" t="b">
        <v>0</v>
      </c>
      <c r="O10" s="21" t="b">
        <v>1</v>
      </c>
      <c r="P10" s="21" t="b">
        <v>1</v>
      </c>
      <c r="Q10" s="21" t="b">
        <v>1</v>
      </c>
      <c r="R10" s="21" t="b">
        <v>1</v>
      </c>
      <c r="S10" s="21" t="b">
        <v>1</v>
      </c>
      <c r="T10" s="21" t="b">
        <v>1</v>
      </c>
      <c r="U10" s="21" t="b">
        <v>1</v>
      </c>
      <c r="V10" s="21" t="b">
        <v>0</v>
      </c>
      <c r="W10" s="21" t="b">
        <v>0</v>
      </c>
      <c r="X10" s="21" t="b">
        <v>0</v>
      </c>
      <c r="Y10" s="21" t="b">
        <v>0</v>
      </c>
      <c r="Z10" s="21" t="b">
        <v>0</v>
      </c>
      <c r="AA10" s="21" t="b">
        <v>0</v>
      </c>
      <c r="AB10" s="21" t="b">
        <v>0</v>
      </c>
      <c r="AC10" s="21" t="b">
        <v>0</v>
      </c>
      <c r="AD10" s="21" t="b">
        <v>0</v>
      </c>
      <c r="AE10" s="21" t="b">
        <v>0</v>
      </c>
      <c r="AF10" s="21" t="b">
        <v>0</v>
      </c>
      <c r="AG10" s="21" t="b">
        <v>0</v>
      </c>
      <c r="AH10" s="21" t="b">
        <v>0</v>
      </c>
      <c r="AI10" s="21" t="b">
        <v>0</v>
      </c>
      <c r="AJ10" s="21"/>
    </row>
    <row r="11" ht="15.75" customHeight="1">
      <c r="A11" s="38" t="s">
        <v>58</v>
      </c>
      <c r="B11" s="14">
        <f t="shared" si="1"/>
        <v>0.375</v>
      </c>
      <c r="C11" s="14">
        <f t="shared" si="2"/>
        <v>0.1935483871</v>
      </c>
      <c r="D11" s="14"/>
      <c r="E11" s="21" t="b">
        <v>1</v>
      </c>
      <c r="F11" s="21" t="b">
        <v>1</v>
      </c>
      <c r="G11" s="21" t="b">
        <v>0</v>
      </c>
      <c r="H11" s="21" t="b">
        <v>0</v>
      </c>
      <c r="I11" s="21" t="b">
        <v>0</v>
      </c>
      <c r="J11" s="21" t="b">
        <v>0</v>
      </c>
      <c r="K11" s="21" t="b">
        <v>0</v>
      </c>
      <c r="L11" s="21" t="b">
        <v>0</v>
      </c>
      <c r="M11" s="21" t="b">
        <v>0</v>
      </c>
      <c r="N11" s="21" t="b">
        <v>0</v>
      </c>
      <c r="O11" s="21" t="b">
        <v>0</v>
      </c>
      <c r="P11" s="21" t="b">
        <v>1</v>
      </c>
      <c r="Q11" s="21" t="b">
        <v>0</v>
      </c>
      <c r="R11" s="21" t="b">
        <v>1</v>
      </c>
      <c r="S11" s="21" t="b">
        <v>1</v>
      </c>
      <c r="T11" s="21" t="b">
        <v>1</v>
      </c>
      <c r="U11" s="21" t="b">
        <v>0</v>
      </c>
      <c r="V11" s="21" t="b">
        <v>0</v>
      </c>
      <c r="W11" s="21" t="b">
        <v>0</v>
      </c>
      <c r="X11" s="21" t="b">
        <v>0</v>
      </c>
      <c r="Y11" s="21" t="b">
        <v>0</v>
      </c>
      <c r="Z11" s="21" t="b">
        <v>0</v>
      </c>
      <c r="AA11" s="21" t="b">
        <v>0</v>
      </c>
      <c r="AB11" s="21" t="b">
        <v>0</v>
      </c>
      <c r="AC11" s="21" t="b">
        <v>0</v>
      </c>
      <c r="AD11" s="21" t="b">
        <v>0</v>
      </c>
      <c r="AE11" s="21" t="b">
        <v>0</v>
      </c>
      <c r="AF11" s="21" t="b">
        <v>0</v>
      </c>
      <c r="AG11" s="21" t="b">
        <v>0</v>
      </c>
      <c r="AH11" s="21" t="b">
        <v>0</v>
      </c>
      <c r="AI11" s="21" t="b">
        <v>0</v>
      </c>
      <c r="AJ11" s="21"/>
    </row>
    <row r="12" ht="15.75" customHeight="1">
      <c r="A12" s="26" t="s">
        <v>59</v>
      </c>
      <c r="B12" s="14">
        <f t="shared" si="1"/>
        <v>0.5625</v>
      </c>
      <c r="C12" s="14">
        <f t="shared" si="2"/>
        <v>0.3225806452</v>
      </c>
      <c r="D12" s="14"/>
      <c r="E12" s="21" t="b">
        <v>1</v>
      </c>
      <c r="F12" s="21" t="b">
        <v>1</v>
      </c>
      <c r="G12" s="21" t="b">
        <v>0</v>
      </c>
      <c r="H12" s="21" t="b">
        <v>1</v>
      </c>
      <c r="I12" s="21" t="b">
        <v>0</v>
      </c>
      <c r="J12" s="21" t="b">
        <v>0</v>
      </c>
      <c r="K12" s="21" t="b">
        <v>0</v>
      </c>
      <c r="L12" s="21" t="b">
        <v>0</v>
      </c>
      <c r="M12" s="21" t="b">
        <v>1</v>
      </c>
      <c r="N12" s="21" t="b">
        <v>0</v>
      </c>
      <c r="O12" s="21" t="b">
        <v>0</v>
      </c>
      <c r="P12" s="21" t="b">
        <v>1</v>
      </c>
      <c r="Q12" s="21" t="b">
        <v>1</v>
      </c>
      <c r="R12" s="21" t="b">
        <v>1</v>
      </c>
      <c r="S12" s="21" t="b">
        <v>1</v>
      </c>
      <c r="T12" s="21" t="b">
        <v>1</v>
      </c>
      <c r="U12" s="21" t="b">
        <v>1</v>
      </c>
      <c r="V12" s="21" t="b">
        <v>0</v>
      </c>
      <c r="W12" s="21" t="b">
        <v>0</v>
      </c>
      <c r="X12" s="21" t="b">
        <v>0</v>
      </c>
      <c r="Y12" s="21" t="b">
        <v>0</v>
      </c>
      <c r="Z12" s="21" t="b">
        <v>0</v>
      </c>
      <c r="AA12" s="21" t="b">
        <v>0</v>
      </c>
      <c r="AB12" s="21" t="b">
        <v>0</v>
      </c>
      <c r="AC12" s="21" t="b">
        <v>0</v>
      </c>
      <c r="AD12" s="21" t="b">
        <v>0</v>
      </c>
      <c r="AE12" s="21" t="b">
        <v>0</v>
      </c>
      <c r="AF12" s="21" t="b">
        <v>0</v>
      </c>
      <c r="AG12" s="21" t="b">
        <v>0</v>
      </c>
      <c r="AH12" s="21" t="b">
        <v>0</v>
      </c>
      <c r="AI12" s="21" t="b">
        <v>0</v>
      </c>
      <c r="AJ12" s="21"/>
    </row>
    <row r="13" ht="15.75" customHeight="1">
      <c r="A13" s="26" t="s">
        <v>60</v>
      </c>
      <c r="B13" s="14">
        <f t="shared" si="1"/>
        <v>0.5</v>
      </c>
      <c r="C13" s="14">
        <f t="shared" si="2"/>
        <v>0.2580645161</v>
      </c>
      <c r="D13" s="14"/>
      <c r="E13" s="21" t="b">
        <v>1</v>
      </c>
      <c r="F13" s="21" t="b">
        <v>1</v>
      </c>
      <c r="G13" s="21" t="b">
        <v>1</v>
      </c>
      <c r="H13" s="21" t="b">
        <v>0</v>
      </c>
      <c r="I13" s="21" t="b">
        <v>0</v>
      </c>
      <c r="J13" s="21" t="b">
        <v>0</v>
      </c>
      <c r="K13" s="21" t="b">
        <v>0</v>
      </c>
      <c r="L13" s="21" t="b">
        <v>0</v>
      </c>
      <c r="M13" s="21" t="b">
        <v>0</v>
      </c>
      <c r="N13" s="21" t="b">
        <v>0</v>
      </c>
      <c r="O13" s="21" t="b">
        <v>0</v>
      </c>
      <c r="P13" s="21" t="b">
        <v>1</v>
      </c>
      <c r="Q13" s="21" t="b">
        <v>1</v>
      </c>
      <c r="R13" s="21" t="b">
        <v>1</v>
      </c>
      <c r="S13" s="21" t="b">
        <v>1</v>
      </c>
      <c r="T13" s="21" t="b">
        <v>1</v>
      </c>
      <c r="U13" s="21" t="b">
        <v>0</v>
      </c>
      <c r="V13" s="21" t="b">
        <v>0</v>
      </c>
      <c r="W13" s="21" t="b">
        <v>0</v>
      </c>
      <c r="X13" s="21" t="b">
        <v>0</v>
      </c>
      <c r="Y13" s="21" t="b">
        <v>0</v>
      </c>
      <c r="Z13" s="21" t="b">
        <v>0</v>
      </c>
      <c r="AA13" s="21" t="b">
        <v>0</v>
      </c>
      <c r="AB13" s="21" t="b">
        <v>0</v>
      </c>
      <c r="AC13" s="21" t="b">
        <v>0</v>
      </c>
      <c r="AD13" s="21" t="b">
        <v>0</v>
      </c>
      <c r="AE13" s="21" t="b">
        <v>0</v>
      </c>
      <c r="AF13" s="21" t="b">
        <v>0</v>
      </c>
      <c r="AG13" s="21" t="b">
        <v>0</v>
      </c>
      <c r="AH13" s="21" t="b">
        <v>0</v>
      </c>
      <c r="AI13" s="21" t="b">
        <v>0</v>
      </c>
      <c r="AJ13" s="21"/>
    </row>
    <row r="14" ht="15.75" customHeight="1">
      <c r="A14" s="26" t="s">
        <v>61</v>
      </c>
      <c r="B14" s="14">
        <f t="shared" si="1"/>
        <v>0.875</v>
      </c>
      <c r="C14" s="14">
        <f t="shared" si="2"/>
        <v>0.4838709677</v>
      </c>
      <c r="D14" s="10" t="s">
        <v>31</v>
      </c>
      <c r="E14" s="21" t="b">
        <v>1</v>
      </c>
      <c r="F14" s="21" t="b">
        <v>1</v>
      </c>
      <c r="G14" s="21" t="b">
        <v>1</v>
      </c>
      <c r="H14" s="21" t="b">
        <v>1</v>
      </c>
      <c r="I14" s="21" t="b">
        <v>1</v>
      </c>
      <c r="J14" s="21" t="b">
        <v>1</v>
      </c>
      <c r="K14" s="21" t="b">
        <v>1</v>
      </c>
      <c r="L14" s="21" t="b">
        <v>1</v>
      </c>
      <c r="M14" s="21" t="b">
        <v>1</v>
      </c>
      <c r="N14" s="21" t="b">
        <v>0</v>
      </c>
      <c r="O14" s="21" t="b">
        <v>0</v>
      </c>
      <c r="P14" s="21" t="b">
        <v>1</v>
      </c>
      <c r="Q14" s="21" t="b">
        <v>1</v>
      </c>
      <c r="R14" s="21" t="b">
        <v>1</v>
      </c>
      <c r="S14" s="21" t="b">
        <v>1</v>
      </c>
      <c r="T14" s="21" t="b">
        <v>1</v>
      </c>
      <c r="U14" s="21" t="b">
        <v>1</v>
      </c>
      <c r="V14" s="21" t="b">
        <v>0</v>
      </c>
      <c r="W14" s="21" t="b">
        <v>0</v>
      </c>
      <c r="X14" s="21" t="b">
        <v>0</v>
      </c>
      <c r="Y14" s="21" t="b">
        <v>0</v>
      </c>
      <c r="Z14" s="21" t="b">
        <v>0</v>
      </c>
      <c r="AA14" s="21" t="b">
        <v>0</v>
      </c>
      <c r="AB14" s="21" t="b">
        <v>0</v>
      </c>
      <c r="AC14" s="21" t="b">
        <v>0</v>
      </c>
      <c r="AD14" s="21" t="b">
        <v>0</v>
      </c>
      <c r="AE14" s="21" t="b">
        <v>0</v>
      </c>
      <c r="AF14" s="21" t="b">
        <v>0</v>
      </c>
      <c r="AG14" s="21" t="b">
        <v>0</v>
      </c>
      <c r="AH14" s="21" t="b">
        <v>0</v>
      </c>
      <c r="AI14" s="21" t="b">
        <v>0</v>
      </c>
      <c r="AJ14" s="21"/>
    </row>
    <row r="15" ht="15.75" customHeight="1">
      <c r="A15" s="26" t="s">
        <v>62</v>
      </c>
      <c r="B15" s="14">
        <f t="shared" si="1"/>
        <v>0.4375</v>
      </c>
      <c r="C15" s="14">
        <f t="shared" si="2"/>
        <v>0.2258064516</v>
      </c>
      <c r="D15" s="14"/>
      <c r="E15" s="21" t="b">
        <v>1</v>
      </c>
      <c r="F15" s="21" t="b">
        <v>1</v>
      </c>
      <c r="G15" s="21" t="b">
        <v>0</v>
      </c>
      <c r="H15" s="21" t="b">
        <v>0</v>
      </c>
      <c r="I15" s="21" t="b">
        <v>0</v>
      </c>
      <c r="J15" s="21" t="b">
        <v>0</v>
      </c>
      <c r="K15" s="21" t="b">
        <v>0</v>
      </c>
      <c r="L15" s="21" t="b">
        <v>0</v>
      </c>
      <c r="M15" s="21" t="b">
        <v>0</v>
      </c>
      <c r="N15" s="21" t="b">
        <v>0</v>
      </c>
      <c r="O15" s="21" t="b">
        <v>0</v>
      </c>
      <c r="P15" s="21" t="b">
        <v>1</v>
      </c>
      <c r="Q15" s="21" t="b">
        <v>1</v>
      </c>
      <c r="R15" s="21" t="b">
        <v>1</v>
      </c>
      <c r="S15" s="21" t="b">
        <v>1</v>
      </c>
      <c r="T15" s="21" t="b">
        <v>1</v>
      </c>
      <c r="U15" s="21" t="b">
        <v>0</v>
      </c>
      <c r="V15" s="21" t="b">
        <v>0</v>
      </c>
      <c r="W15" s="21" t="b">
        <v>0</v>
      </c>
      <c r="X15" s="21" t="b">
        <v>0</v>
      </c>
      <c r="Y15" s="21" t="b">
        <v>0</v>
      </c>
      <c r="Z15" s="21" t="b">
        <v>0</v>
      </c>
      <c r="AA15" s="21" t="b">
        <v>0</v>
      </c>
      <c r="AB15" s="21" t="b">
        <v>0</v>
      </c>
      <c r="AC15" s="21" t="b">
        <v>0</v>
      </c>
      <c r="AD15" s="21" t="b">
        <v>0</v>
      </c>
      <c r="AE15" s="21" t="b">
        <v>0</v>
      </c>
      <c r="AF15" s="21" t="b">
        <v>0</v>
      </c>
      <c r="AG15" s="21" t="b">
        <v>0</v>
      </c>
      <c r="AH15" s="21" t="b">
        <v>0</v>
      </c>
      <c r="AI15" s="21" t="b">
        <v>0</v>
      </c>
      <c r="AJ15" s="21"/>
    </row>
    <row r="16" ht="15.75" customHeight="1">
      <c r="A16" s="26" t="s">
        <v>63</v>
      </c>
      <c r="B16" s="14">
        <f t="shared" si="1"/>
        <v>0.5625</v>
      </c>
      <c r="C16" s="14">
        <f t="shared" si="2"/>
        <v>0.3870967742</v>
      </c>
      <c r="D16" s="10" t="s">
        <v>31</v>
      </c>
      <c r="E16" s="21" t="b">
        <v>1</v>
      </c>
      <c r="F16" s="21" t="b">
        <v>1</v>
      </c>
      <c r="G16" s="21" t="b">
        <v>0</v>
      </c>
      <c r="H16" s="21" t="b">
        <v>1</v>
      </c>
      <c r="I16" s="21" t="b">
        <v>0</v>
      </c>
      <c r="J16" s="21" t="b">
        <v>0</v>
      </c>
      <c r="K16" s="21" t="b">
        <v>0</v>
      </c>
      <c r="L16" s="21" t="b">
        <v>0</v>
      </c>
      <c r="M16" s="21" t="b">
        <v>1</v>
      </c>
      <c r="N16" s="21" t="b">
        <v>0</v>
      </c>
      <c r="O16" s="21" t="b">
        <v>0</v>
      </c>
      <c r="P16" s="21" t="b">
        <v>1</v>
      </c>
      <c r="Q16" s="21" t="b">
        <v>1</v>
      </c>
      <c r="R16" s="21" t="b">
        <v>1</v>
      </c>
      <c r="S16" s="21" t="b">
        <v>1</v>
      </c>
      <c r="T16" s="21" t="b">
        <v>1</v>
      </c>
      <c r="U16" s="21" t="b">
        <v>1</v>
      </c>
      <c r="V16" s="21" t="b">
        <v>1</v>
      </c>
      <c r="W16" s="21" t="b">
        <v>0</v>
      </c>
      <c r="X16" s="21" t="b">
        <v>0</v>
      </c>
      <c r="Y16" s="21" t="b">
        <v>0</v>
      </c>
      <c r="Z16" s="21" t="b">
        <v>0</v>
      </c>
      <c r="AA16" s="21" t="b">
        <v>0</v>
      </c>
      <c r="AB16" s="21" t="b">
        <v>0</v>
      </c>
      <c r="AC16" s="21" t="b">
        <v>0</v>
      </c>
      <c r="AD16" s="21" t="b">
        <v>0</v>
      </c>
      <c r="AE16" s="21" t="b">
        <v>1</v>
      </c>
      <c r="AF16" s="21" t="b">
        <v>0</v>
      </c>
      <c r="AG16" s="21" t="b">
        <v>0</v>
      </c>
      <c r="AH16" s="21" t="b">
        <v>0</v>
      </c>
      <c r="AI16" s="21" t="b">
        <v>0</v>
      </c>
      <c r="AJ16" s="21"/>
    </row>
    <row r="17" ht="15.75" customHeight="1">
      <c r="A17" s="10" t="s">
        <v>64</v>
      </c>
      <c r="B17" s="10">
        <v>16.0</v>
      </c>
      <c r="C17" s="10">
        <v>31.0</v>
      </c>
      <c r="E17" s="10">
        <f t="shared" ref="E17:AI17" si="3">COUNTIF(E2:E16, TRUE)</f>
        <v>14</v>
      </c>
      <c r="F17" s="10">
        <f t="shared" si="3"/>
        <v>15</v>
      </c>
      <c r="G17" s="10">
        <f t="shared" si="3"/>
        <v>10</v>
      </c>
      <c r="H17" s="10">
        <f t="shared" si="3"/>
        <v>10</v>
      </c>
      <c r="I17" s="10">
        <f t="shared" si="3"/>
        <v>8</v>
      </c>
      <c r="J17" s="10">
        <f t="shared" si="3"/>
        <v>5</v>
      </c>
      <c r="K17" s="10">
        <f t="shared" si="3"/>
        <v>8</v>
      </c>
      <c r="L17" s="10">
        <f t="shared" si="3"/>
        <v>8</v>
      </c>
      <c r="M17" s="10">
        <f t="shared" si="3"/>
        <v>8</v>
      </c>
      <c r="N17" s="10">
        <f t="shared" si="3"/>
        <v>1</v>
      </c>
      <c r="O17" s="10">
        <f t="shared" si="3"/>
        <v>2</v>
      </c>
      <c r="P17" s="10">
        <f t="shared" si="3"/>
        <v>15</v>
      </c>
      <c r="Q17" s="10">
        <f t="shared" si="3"/>
        <v>14</v>
      </c>
      <c r="R17" s="10">
        <f t="shared" si="3"/>
        <v>15</v>
      </c>
      <c r="S17" s="10">
        <f t="shared" si="3"/>
        <v>15</v>
      </c>
      <c r="T17" s="10">
        <f t="shared" si="3"/>
        <v>15</v>
      </c>
      <c r="U17" s="10">
        <f t="shared" si="3"/>
        <v>6</v>
      </c>
      <c r="V17" s="10">
        <f t="shared" si="3"/>
        <v>1</v>
      </c>
      <c r="W17" s="10">
        <f t="shared" si="3"/>
        <v>0</v>
      </c>
      <c r="X17" s="10">
        <f t="shared" si="3"/>
        <v>0</v>
      </c>
      <c r="Y17" s="10">
        <f t="shared" si="3"/>
        <v>0</v>
      </c>
      <c r="Z17" s="10">
        <f t="shared" si="3"/>
        <v>0</v>
      </c>
      <c r="AA17" s="10">
        <f t="shared" si="3"/>
        <v>0</v>
      </c>
      <c r="AB17" s="10">
        <f t="shared" si="3"/>
        <v>0</v>
      </c>
      <c r="AC17" s="10">
        <f t="shared" si="3"/>
        <v>0</v>
      </c>
      <c r="AD17" s="10">
        <f t="shared" si="3"/>
        <v>0</v>
      </c>
      <c r="AE17" s="10">
        <f t="shared" si="3"/>
        <v>2</v>
      </c>
      <c r="AF17" s="10">
        <f t="shared" si="3"/>
        <v>0</v>
      </c>
      <c r="AG17" s="10">
        <f t="shared" si="3"/>
        <v>0</v>
      </c>
      <c r="AH17" s="10">
        <f t="shared" si="3"/>
        <v>0</v>
      </c>
      <c r="AI17" s="10">
        <f t="shared" si="3"/>
        <v>0</v>
      </c>
    </row>
    <row r="18" ht="15.75" customHeight="1"/>
    <row r="19" ht="15.75" customHeight="1">
      <c r="E19" s="33" t="s">
        <v>65</v>
      </c>
    </row>
    <row r="20" ht="15.75" customHeight="1">
      <c r="E20" s="34" t="s">
        <v>66</v>
      </c>
    </row>
    <row r="21" ht="15.75" customHeight="1">
      <c r="E21" s="36" t="s">
        <v>28</v>
      </c>
    </row>
    <row r="22" ht="15.75" customHeight="1">
      <c r="E22" s="37" t="s">
        <v>68</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E2:AJ16">
    <cfRule type="cellIs" dxfId="0" priority="1" operator="equal">
      <formula>"TRUE"</formula>
    </cfRule>
  </conditionalFormatting>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xSplit="1.0" topLeftCell="B1" activePane="topRight" state="frozen"/>
      <selection activeCell="C2" sqref="C2" pane="topRight"/>
    </sheetView>
  </sheetViews>
  <sheetFormatPr customHeight="1" defaultColWidth="12.63" defaultRowHeight="15.0"/>
  <cols>
    <col customWidth="1" min="1" max="1" width="12.63"/>
    <col customWidth="1" min="2" max="2" width="7.25"/>
    <col customWidth="1" min="3" max="4" width="7.38"/>
    <col customWidth="1" min="5" max="6" width="12.63"/>
  </cols>
  <sheetData>
    <row r="1" ht="15.75" customHeight="1">
      <c r="B1" s="10" t="s">
        <v>29</v>
      </c>
      <c r="C1" s="10" t="s">
        <v>30</v>
      </c>
      <c r="D1" s="10" t="s">
        <v>31</v>
      </c>
      <c r="E1" s="21" t="s">
        <v>198</v>
      </c>
      <c r="F1" s="21" t="s">
        <v>199</v>
      </c>
      <c r="G1" s="21" t="s">
        <v>200</v>
      </c>
      <c r="H1" s="21" t="s">
        <v>201</v>
      </c>
      <c r="I1" s="21" t="s">
        <v>202</v>
      </c>
      <c r="J1" s="21" t="s">
        <v>203</v>
      </c>
      <c r="K1" s="21" t="s">
        <v>204</v>
      </c>
      <c r="L1" s="21" t="s">
        <v>205</v>
      </c>
      <c r="M1" s="21" t="s">
        <v>206</v>
      </c>
      <c r="N1" s="21" t="s">
        <v>207</v>
      </c>
      <c r="O1" s="21" t="s">
        <v>208</v>
      </c>
      <c r="P1" s="21" t="s">
        <v>209</v>
      </c>
      <c r="Q1" s="23" t="s">
        <v>210</v>
      </c>
      <c r="R1" s="23" t="s">
        <v>210</v>
      </c>
      <c r="S1" s="23" t="s">
        <v>210</v>
      </c>
      <c r="T1" s="23" t="s">
        <v>210</v>
      </c>
      <c r="U1" s="23" t="s">
        <v>41</v>
      </c>
      <c r="V1" s="23" t="s">
        <v>41</v>
      </c>
      <c r="W1" s="23" t="s">
        <v>41</v>
      </c>
      <c r="X1" s="23" t="s">
        <v>41</v>
      </c>
      <c r="Y1" s="23" t="s">
        <v>211</v>
      </c>
      <c r="Z1" s="23" t="s">
        <v>211</v>
      </c>
      <c r="AA1" s="25" t="s">
        <v>48</v>
      </c>
      <c r="AB1" s="25" t="s">
        <v>48</v>
      </c>
      <c r="AC1" s="24" t="s">
        <v>212</v>
      </c>
      <c r="AD1" s="24" t="s">
        <v>213</v>
      </c>
      <c r="AE1" s="24" t="s">
        <v>214</v>
      </c>
      <c r="AF1" s="24" t="s">
        <v>215</v>
      </c>
      <c r="AG1" s="24" t="s">
        <v>216</v>
      </c>
      <c r="AH1" s="24" t="s">
        <v>217</v>
      </c>
      <c r="AI1" s="24" t="s">
        <v>218</v>
      </c>
    </row>
    <row r="2" ht="15.75" customHeight="1">
      <c r="A2" s="26" t="s">
        <v>49</v>
      </c>
      <c r="B2" s="14">
        <f t="shared" ref="B2:B16" si="1">COUNTIF(E2:Z2, TRUE) / COUNTA(E2:Z2)</f>
        <v>0.8181818182</v>
      </c>
      <c r="C2" s="14">
        <f t="shared" ref="C2:C16" si="2">COUNTIF(E2:AI2, TRUE) / COUNTA(E2:AI2)</f>
        <v>0.5806451613</v>
      </c>
      <c r="D2" s="14"/>
      <c r="E2" s="21" t="b">
        <v>0</v>
      </c>
      <c r="F2" s="21" t="b">
        <v>1</v>
      </c>
      <c r="G2" s="21" t="b">
        <v>0</v>
      </c>
      <c r="H2" s="21" t="b">
        <v>0</v>
      </c>
      <c r="I2" s="21" t="b">
        <v>1</v>
      </c>
      <c r="J2" s="21" t="b">
        <v>1</v>
      </c>
      <c r="K2" s="21" t="b">
        <v>1</v>
      </c>
      <c r="L2" s="21" t="b">
        <v>1</v>
      </c>
      <c r="M2" s="21" t="b">
        <v>1</v>
      </c>
      <c r="N2" s="21" t="b">
        <v>1</v>
      </c>
      <c r="O2" s="21" t="b">
        <v>1</v>
      </c>
      <c r="P2" s="21" t="b">
        <v>0</v>
      </c>
      <c r="Q2" s="21" t="b">
        <v>1</v>
      </c>
      <c r="R2" s="21" t="b">
        <v>1</v>
      </c>
      <c r="S2" s="21" t="b">
        <v>1</v>
      </c>
      <c r="T2" s="21" t="b">
        <v>1</v>
      </c>
      <c r="U2" s="21" t="b">
        <v>1</v>
      </c>
      <c r="V2" s="21" t="b">
        <v>1</v>
      </c>
      <c r="W2" s="21" t="b">
        <v>1</v>
      </c>
      <c r="X2" s="21" t="b">
        <v>1</v>
      </c>
      <c r="Y2" s="21" t="b">
        <v>1</v>
      </c>
      <c r="Z2" s="21" t="b">
        <v>1</v>
      </c>
      <c r="AA2" s="21" t="b">
        <v>0</v>
      </c>
      <c r="AB2" s="21" t="b">
        <v>0</v>
      </c>
      <c r="AC2" s="21" t="b">
        <v>0</v>
      </c>
      <c r="AD2" s="21" t="b">
        <v>0</v>
      </c>
      <c r="AE2" s="21" t="b">
        <v>0</v>
      </c>
      <c r="AF2" s="21" t="b">
        <v>0</v>
      </c>
      <c r="AG2" s="21" t="b">
        <v>0</v>
      </c>
      <c r="AH2" s="21" t="b">
        <v>0</v>
      </c>
      <c r="AI2" s="21" t="b">
        <v>0</v>
      </c>
    </row>
    <row r="3" ht="15.75" customHeight="1">
      <c r="A3" s="26" t="s">
        <v>50</v>
      </c>
      <c r="B3" s="14">
        <f t="shared" si="1"/>
        <v>0.8636363636</v>
      </c>
      <c r="C3" s="14">
        <f t="shared" si="2"/>
        <v>0.6129032258</v>
      </c>
      <c r="D3" s="14"/>
      <c r="E3" s="21" t="b">
        <v>1</v>
      </c>
      <c r="F3" s="21" t="b">
        <v>0</v>
      </c>
      <c r="G3" s="21" t="b">
        <v>1</v>
      </c>
      <c r="H3" s="21" t="b">
        <v>1</v>
      </c>
      <c r="I3" s="21" t="b">
        <v>0</v>
      </c>
      <c r="J3" s="21" t="b">
        <v>0</v>
      </c>
      <c r="K3" s="21" t="b">
        <v>1</v>
      </c>
      <c r="L3" s="21" t="b">
        <v>1</v>
      </c>
      <c r="M3" s="21" t="b">
        <v>1</v>
      </c>
      <c r="N3" s="21" t="b">
        <v>1</v>
      </c>
      <c r="O3" s="21" t="b">
        <v>1</v>
      </c>
      <c r="P3" s="21" t="b">
        <v>1</v>
      </c>
      <c r="Q3" s="21" t="b">
        <v>1</v>
      </c>
      <c r="R3" s="21" t="b">
        <v>1</v>
      </c>
      <c r="S3" s="21" t="b">
        <v>1</v>
      </c>
      <c r="T3" s="21" t="b">
        <v>1</v>
      </c>
      <c r="U3" s="21" t="b">
        <v>1</v>
      </c>
      <c r="V3" s="21" t="b">
        <v>1</v>
      </c>
      <c r="W3" s="21" t="b">
        <v>1</v>
      </c>
      <c r="X3" s="21" t="b">
        <v>1</v>
      </c>
      <c r="Y3" s="21" t="b">
        <v>1</v>
      </c>
      <c r="Z3" s="21" t="b">
        <v>1</v>
      </c>
      <c r="AA3" s="21" t="b">
        <v>0</v>
      </c>
      <c r="AB3" s="21" t="b">
        <v>0</v>
      </c>
      <c r="AC3" s="21" t="b">
        <v>0</v>
      </c>
      <c r="AD3" s="21" t="b">
        <v>0</v>
      </c>
      <c r="AE3" s="21" t="b">
        <v>0</v>
      </c>
      <c r="AF3" s="21" t="b">
        <v>0</v>
      </c>
      <c r="AG3" s="21" t="b">
        <v>0</v>
      </c>
      <c r="AH3" s="21" t="b">
        <v>0</v>
      </c>
      <c r="AI3" s="21" t="b">
        <v>0</v>
      </c>
    </row>
    <row r="4" ht="15.75" customHeight="1">
      <c r="A4" s="26" t="s">
        <v>51</v>
      </c>
      <c r="B4" s="14">
        <f t="shared" si="1"/>
        <v>0.9090909091</v>
      </c>
      <c r="C4" s="14">
        <f t="shared" si="2"/>
        <v>0.6774193548</v>
      </c>
      <c r="D4" s="14"/>
      <c r="E4" s="21" t="b">
        <v>1</v>
      </c>
      <c r="F4" s="21" t="b">
        <v>1</v>
      </c>
      <c r="G4" s="21" t="b">
        <v>1</v>
      </c>
      <c r="H4" s="21" t="b">
        <v>1</v>
      </c>
      <c r="I4" s="21" t="b">
        <v>0</v>
      </c>
      <c r="J4" s="21" t="b">
        <v>1</v>
      </c>
      <c r="K4" s="21" t="b">
        <v>1</v>
      </c>
      <c r="L4" s="21" t="b">
        <v>1</v>
      </c>
      <c r="M4" s="21" t="b">
        <v>1</v>
      </c>
      <c r="N4" s="21" t="b">
        <v>1</v>
      </c>
      <c r="O4" s="21" t="b">
        <v>1</v>
      </c>
      <c r="P4" s="21" t="b">
        <v>0</v>
      </c>
      <c r="Q4" s="21" t="b">
        <v>1</v>
      </c>
      <c r="R4" s="21" t="b">
        <v>1</v>
      </c>
      <c r="S4" s="21" t="b">
        <v>1</v>
      </c>
      <c r="T4" s="21" t="b">
        <v>1</v>
      </c>
      <c r="U4" s="21" t="b">
        <v>1</v>
      </c>
      <c r="V4" s="21" t="b">
        <v>1</v>
      </c>
      <c r="W4" s="21" t="b">
        <v>1</v>
      </c>
      <c r="X4" s="21" t="b">
        <v>1</v>
      </c>
      <c r="Y4" s="21" t="b">
        <v>1</v>
      </c>
      <c r="Z4" s="21" t="b">
        <v>1</v>
      </c>
      <c r="AA4" s="21" t="b">
        <v>1</v>
      </c>
      <c r="AB4" s="21" t="b">
        <v>0</v>
      </c>
      <c r="AC4" s="21" t="b">
        <v>0</v>
      </c>
      <c r="AD4" s="21" t="b">
        <v>0</v>
      </c>
      <c r="AE4" s="21" t="b">
        <v>0</v>
      </c>
      <c r="AF4" s="21" t="b">
        <v>0</v>
      </c>
      <c r="AG4" s="21" t="b">
        <v>0</v>
      </c>
      <c r="AH4" s="21" t="b">
        <v>0</v>
      </c>
      <c r="AI4" s="21" t="b">
        <v>0</v>
      </c>
    </row>
    <row r="5" ht="15.75" customHeight="1">
      <c r="A5" s="26" t="s">
        <v>52</v>
      </c>
      <c r="B5" s="14">
        <f t="shared" si="1"/>
        <v>0.8181818182</v>
      </c>
      <c r="C5" s="14">
        <f t="shared" si="2"/>
        <v>0.5806451613</v>
      </c>
      <c r="D5" s="14"/>
      <c r="E5" s="21" t="b">
        <v>1</v>
      </c>
      <c r="F5" s="21" t="b">
        <v>1</v>
      </c>
      <c r="G5" s="21" t="b">
        <v>0</v>
      </c>
      <c r="H5" s="21" t="b">
        <v>0</v>
      </c>
      <c r="I5" s="21" t="b">
        <v>1</v>
      </c>
      <c r="J5" s="21" t="b">
        <v>0</v>
      </c>
      <c r="K5" s="21" t="b">
        <v>1</v>
      </c>
      <c r="L5" s="21" t="b">
        <v>1</v>
      </c>
      <c r="M5" s="21" t="b">
        <v>1</v>
      </c>
      <c r="N5" s="21" t="b">
        <v>1</v>
      </c>
      <c r="O5" s="21" t="b">
        <v>1</v>
      </c>
      <c r="P5" s="21" t="b">
        <v>0</v>
      </c>
      <c r="Q5" s="21" t="b">
        <v>1</v>
      </c>
      <c r="R5" s="21" t="b">
        <v>1</v>
      </c>
      <c r="S5" s="21" t="b">
        <v>1</v>
      </c>
      <c r="T5" s="21" t="b">
        <v>1</v>
      </c>
      <c r="U5" s="21" t="b">
        <v>1</v>
      </c>
      <c r="V5" s="21" t="b">
        <v>1</v>
      </c>
      <c r="W5" s="21" t="b">
        <v>1</v>
      </c>
      <c r="X5" s="21" t="b">
        <v>1</v>
      </c>
      <c r="Y5" s="21" t="b">
        <v>1</v>
      </c>
      <c r="Z5" s="21" t="b">
        <v>1</v>
      </c>
      <c r="AA5" s="21" t="b">
        <v>0</v>
      </c>
      <c r="AB5" s="21" t="b">
        <v>0</v>
      </c>
      <c r="AC5" s="21" t="b">
        <v>0</v>
      </c>
      <c r="AD5" s="21" t="b">
        <v>0</v>
      </c>
      <c r="AE5" s="21" t="b">
        <v>0</v>
      </c>
      <c r="AF5" s="21" t="b">
        <v>0</v>
      </c>
      <c r="AG5" s="21" t="b">
        <v>0</v>
      </c>
      <c r="AH5" s="21" t="b">
        <v>0</v>
      </c>
      <c r="AI5" s="21" t="b">
        <v>0</v>
      </c>
    </row>
    <row r="6" ht="15.75" customHeight="1">
      <c r="A6" s="26" t="s">
        <v>53</v>
      </c>
      <c r="B6" s="14">
        <f t="shared" si="1"/>
        <v>0.8181818182</v>
      </c>
      <c r="C6" s="14">
        <f t="shared" si="2"/>
        <v>0.5806451613</v>
      </c>
      <c r="D6" s="14"/>
      <c r="E6" s="21" t="b">
        <v>0</v>
      </c>
      <c r="F6" s="21" t="b">
        <v>1</v>
      </c>
      <c r="G6" s="21" t="b">
        <v>0</v>
      </c>
      <c r="H6" s="21" t="b">
        <v>0</v>
      </c>
      <c r="I6" s="21" t="b">
        <v>0</v>
      </c>
      <c r="J6" s="21" t="b">
        <v>1</v>
      </c>
      <c r="K6" s="21" t="b">
        <v>1</v>
      </c>
      <c r="L6" s="21" t="b">
        <v>1</v>
      </c>
      <c r="M6" s="21" t="b">
        <v>1</v>
      </c>
      <c r="N6" s="21" t="b">
        <v>1</v>
      </c>
      <c r="O6" s="21" t="b">
        <v>1</v>
      </c>
      <c r="P6" s="21" t="b">
        <v>1</v>
      </c>
      <c r="Q6" s="21" t="b">
        <v>1</v>
      </c>
      <c r="R6" s="21" t="b">
        <v>1</v>
      </c>
      <c r="S6" s="21" t="b">
        <v>1</v>
      </c>
      <c r="T6" s="21" t="b">
        <v>1</v>
      </c>
      <c r="U6" s="21" t="b">
        <v>1</v>
      </c>
      <c r="V6" s="21" t="b">
        <v>1</v>
      </c>
      <c r="W6" s="21" t="b">
        <v>1</v>
      </c>
      <c r="X6" s="21" t="b">
        <v>1</v>
      </c>
      <c r="Y6" s="21" t="b">
        <v>1</v>
      </c>
      <c r="Z6" s="21" t="b">
        <v>1</v>
      </c>
      <c r="AA6" s="21" t="b">
        <v>0</v>
      </c>
      <c r="AB6" s="21" t="b">
        <v>0</v>
      </c>
      <c r="AC6" s="21" t="b">
        <v>0</v>
      </c>
      <c r="AD6" s="21" t="b">
        <v>0</v>
      </c>
      <c r="AE6" s="21" t="b">
        <v>0</v>
      </c>
      <c r="AF6" s="21" t="b">
        <v>0</v>
      </c>
      <c r="AG6" s="21" t="b">
        <v>0</v>
      </c>
      <c r="AH6" s="21" t="b">
        <v>0</v>
      </c>
      <c r="AI6" s="21" t="b">
        <v>0</v>
      </c>
    </row>
    <row r="7" ht="15.75" customHeight="1">
      <c r="A7" s="26" t="s">
        <v>54</v>
      </c>
      <c r="B7" s="14">
        <f t="shared" si="1"/>
        <v>0.7272727273</v>
      </c>
      <c r="C7" s="14">
        <f t="shared" si="2"/>
        <v>0.5161290323</v>
      </c>
      <c r="D7" s="14"/>
      <c r="E7" s="21" t="b">
        <v>0</v>
      </c>
      <c r="F7" s="21" t="b">
        <v>0</v>
      </c>
      <c r="G7" s="21" t="b">
        <v>0</v>
      </c>
      <c r="H7" s="21" t="b">
        <v>0</v>
      </c>
      <c r="I7" s="21" t="b">
        <v>0</v>
      </c>
      <c r="J7" s="21" t="b">
        <v>1</v>
      </c>
      <c r="K7" s="21" t="b">
        <v>1</v>
      </c>
      <c r="L7" s="21" t="b">
        <v>1</v>
      </c>
      <c r="M7" s="21" t="b">
        <v>1</v>
      </c>
      <c r="N7" s="21" t="b">
        <v>1</v>
      </c>
      <c r="O7" s="21" t="b">
        <v>1</v>
      </c>
      <c r="P7" s="21" t="b">
        <v>0</v>
      </c>
      <c r="Q7" s="21" t="b">
        <v>1</v>
      </c>
      <c r="R7" s="21" t="b">
        <v>1</v>
      </c>
      <c r="S7" s="21" t="b">
        <v>1</v>
      </c>
      <c r="T7" s="21" t="b">
        <v>1</v>
      </c>
      <c r="U7" s="21" t="b">
        <v>1</v>
      </c>
      <c r="V7" s="21" t="b">
        <v>1</v>
      </c>
      <c r="W7" s="21" t="b">
        <v>1</v>
      </c>
      <c r="X7" s="21" t="b">
        <v>1</v>
      </c>
      <c r="Y7" s="21" t="b">
        <v>1</v>
      </c>
      <c r="Z7" s="21" t="b">
        <v>1</v>
      </c>
      <c r="AA7" s="21" t="b">
        <v>0</v>
      </c>
      <c r="AB7" s="21" t="b">
        <v>0</v>
      </c>
      <c r="AC7" s="21" t="b">
        <v>0</v>
      </c>
      <c r="AD7" s="21" t="b">
        <v>0</v>
      </c>
      <c r="AE7" s="21" t="b">
        <v>0</v>
      </c>
      <c r="AF7" s="21" t="b">
        <v>0</v>
      </c>
      <c r="AG7" s="21" t="b">
        <v>0</v>
      </c>
      <c r="AH7" s="21" t="b">
        <v>0</v>
      </c>
      <c r="AI7" s="21" t="b">
        <v>0</v>
      </c>
    </row>
    <row r="8" ht="15.75" customHeight="1">
      <c r="A8" s="26" t="s">
        <v>55</v>
      </c>
      <c r="B8" s="14">
        <f t="shared" si="1"/>
        <v>0.8636363636</v>
      </c>
      <c r="C8" s="14">
        <f t="shared" si="2"/>
        <v>0.6129032258</v>
      </c>
      <c r="D8" s="14"/>
      <c r="E8" s="21" t="b">
        <v>0</v>
      </c>
      <c r="F8" s="21" t="b">
        <v>1</v>
      </c>
      <c r="G8" s="21" t="b">
        <v>0</v>
      </c>
      <c r="H8" s="21" t="b">
        <v>0</v>
      </c>
      <c r="I8" s="21" t="b">
        <v>1</v>
      </c>
      <c r="J8" s="21" t="b">
        <v>1</v>
      </c>
      <c r="K8" s="21" t="b">
        <v>1</v>
      </c>
      <c r="L8" s="21" t="b">
        <v>1</v>
      </c>
      <c r="M8" s="21" t="b">
        <v>1</v>
      </c>
      <c r="N8" s="21" t="b">
        <v>1</v>
      </c>
      <c r="O8" s="21" t="b">
        <v>1</v>
      </c>
      <c r="P8" s="21" t="b">
        <v>1</v>
      </c>
      <c r="Q8" s="21" t="b">
        <v>1</v>
      </c>
      <c r="R8" s="21" t="b">
        <v>1</v>
      </c>
      <c r="S8" s="21" t="b">
        <v>1</v>
      </c>
      <c r="T8" s="21" t="b">
        <v>1</v>
      </c>
      <c r="U8" s="21" t="b">
        <v>1</v>
      </c>
      <c r="V8" s="21" t="b">
        <v>1</v>
      </c>
      <c r="W8" s="21" t="b">
        <v>1</v>
      </c>
      <c r="X8" s="21" t="b">
        <v>1</v>
      </c>
      <c r="Y8" s="21" t="b">
        <v>1</v>
      </c>
      <c r="Z8" s="21" t="b">
        <v>1</v>
      </c>
      <c r="AA8" s="21" t="b">
        <v>0</v>
      </c>
      <c r="AB8" s="21" t="b">
        <v>0</v>
      </c>
      <c r="AC8" s="21" t="b">
        <v>0</v>
      </c>
      <c r="AD8" s="21" t="b">
        <v>0</v>
      </c>
      <c r="AE8" s="21" t="b">
        <v>0</v>
      </c>
      <c r="AF8" s="21" t="b">
        <v>0</v>
      </c>
      <c r="AG8" s="21" t="b">
        <v>0</v>
      </c>
      <c r="AH8" s="21" t="b">
        <v>0</v>
      </c>
      <c r="AI8" s="21" t="b">
        <v>0</v>
      </c>
    </row>
    <row r="9" ht="15.75" customHeight="1">
      <c r="A9" s="26" t="s">
        <v>56</v>
      </c>
      <c r="B9" s="14">
        <f t="shared" si="1"/>
        <v>1</v>
      </c>
      <c r="C9" s="14">
        <f t="shared" si="2"/>
        <v>0.7096774194</v>
      </c>
      <c r="D9" s="14"/>
      <c r="E9" s="21" t="b">
        <v>1</v>
      </c>
      <c r="F9" s="21" t="b">
        <v>1</v>
      </c>
      <c r="G9" s="21" t="b">
        <v>1</v>
      </c>
      <c r="H9" s="21" t="b">
        <v>1</v>
      </c>
      <c r="I9" s="21" t="b">
        <v>1</v>
      </c>
      <c r="J9" s="21" t="b">
        <v>1</v>
      </c>
      <c r="K9" s="21" t="b">
        <v>1</v>
      </c>
      <c r="L9" s="21" t="b">
        <v>1</v>
      </c>
      <c r="M9" s="21" t="b">
        <v>1</v>
      </c>
      <c r="N9" s="21" t="b">
        <v>1</v>
      </c>
      <c r="O9" s="21" t="b">
        <v>1</v>
      </c>
      <c r="P9" s="21" t="b">
        <v>1</v>
      </c>
      <c r="Q9" s="21" t="b">
        <v>1</v>
      </c>
      <c r="R9" s="21" t="b">
        <v>1</v>
      </c>
      <c r="S9" s="21" t="b">
        <v>1</v>
      </c>
      <c r="T9" s="21" t="b">
        <v>1</v>
      </c>
      <c r="U9" s="21" t="b">
        <v>1</v>
      </c>
      <c r="V9" s="21" t="b">
        <v>1</v>
      </c>
      <c r="W9" s="21" t="b">
        <v>1</v>
      </c>
      <c r="X9" s="21" t="b">
        <v>1</v>
      </c>
      <c r="Y9" s="21" t="b">
        <v>1</v>
      </c>
      <c r="Z9" s="21" t="b">
        <v>1</v>
      </c>
      <c r="AA9" s="21" t="b">
        <v>0</v>
      </c>
      <c r="AB9" s="21" t="b">
        <v>0</v>
      </c>
      <c r="AC9" s="21" t="b">
        <v>0</v>
      </c>
      <c r="AD9" s="21" t="b">
        <v>0</v>
      </c>
      <c r="AE9" s="21" t="b">
        <v>0</v>
      </c>
      <c r="AF9" s="21" t="b">
        <v>0</v>
      </c>
      <c r="AG9" s="21" t="b">
        <v>0</v>
      </c>
      <c r="AH9" s="21" t="b">
        <v>0</v>
      </c>
      <c r="AI9" s="21" t="b">
        <v>0</v>
      </c>
    </row>
    <row r="10" ht="15.75" customHeight="1">
      <c r="A10" s="26" t="s">
        <v>57</v>
      </c>
      <c r="B10" s="14">
        <f t="shared" si="1"/>
        <v>0.9545454545</v>
      </c>
      <c r="C10" s="14">
        <f t="shared" si="2"/>
        <v>0.6774193548</v>
      </c>
      <c r="D10" s="14"/>
      <c r="E10" s="21" t="b">
        <v>1</v>
      </c>
      <c r="F10" s="21" t="b">
        <v>1</v>
      </c>
      <c r="G10" s="21" t="b">
        <v>1</v>
      </c>
      <c r="H10" s="21" t="b">
        <v>0</v>
      </c>
      <c r="I10" s="21" t="b">
        <v>1</v>
      </c>
      <c r="J10" s="21" t="b">
        <v>1</v>
      </c>
      <c r="K10" s="21" t="b">
        <v>1</v>
      </c>
      <c r="L10" s="21" t="b">
        <v>1</v>
      </c>
      <c r="M10" s="21" t="b">
        <v>1</v>
      </c>
      <c r="N10" s="21" t="b">
        <v>1</v>
      </c>
      <c r="O10" s="21" t="b">
        <v>1</v>
      </c>
      <c r="P10" s="21" t="b">
        <v>1</v>
      </c>
      <c r="Q10" s="21" t="b">
        <v>1</v>
      </c>
      <c r="R10" s="21" t="b">
        <v>1</v>
      </c>
      <c r="S10" s="21" t="b">
        <v>1</v>
      </c>
      <c r="T10" s="21" t="b">
        <v>1</v>
      </c>
      <c r="U10" s="21" t="b">
        <v>1</v>
      </c>
      <c r="V10" s="21" t="b">
        <v>1</v>
      </c>
      <c r="W10" s="21" t="b">
        <v>1</v>
      </c>
      <c r="X10" s="21" t="b">
        <v>1</v>
      </c>
      <c r="Y10" s="21" t="b">
        <v>1</v>
      </c>
      <c r="Z10" s="21" t="b">
        <v>1</v>
      </c>
      <c r="AA10" s="21" t="b">
        <v>0</v>
      </c>
      <c r="AB10" s="21" t="b">
        <v>0</v>
      </c>
      <c r="AC10" s="21" t="b">
        <v>0</v>
      </c>
      <c r="AD10" s="21" t="b">
        <v>0</v>
      </c>
      <c r="AE10" s="21" t="b">
        <v>0</v>
      </c>
      <c r="AF10" s="21" t="b">
        <v>0</v>
      </c>
      <c r="AG10" s="21" t="b">
        <v>0</v>
      </c>
      <c r="AH10" s="21" t="b">
        <v>0</v>
      </c>
      <c r="AI10" s="21" t="b">
        <v>0</v>
      </c>
    </row>
    <row r="11" ht="15.75" customHeight="1">
      <c r="A11" s="38" t="s">
        <v>58</v>
      </c>
      <c r="B11" s="14">
        <f t="shared" si="1"/>
        <v>0.7727272727</v>
      </c>
      <c r="C11" s="14">
        <f t="shared" si="2"/>
        <v>0.5483870968</v>
      </c>
      <c r="D11" s="14"/>
      <c r="E11" s="21" t="b">
        <v>0</v>
      </c>
      <c r="F11" s="21" t="b">
        <v>0</v>
      </c>
      <c r="G11" s="21" t="b">
        <v>0</v>
      </c>
      <c r="H11" s="21" t="b">
        <v>0</v>
      </c>
      <c r="I11" s="21" t="b">
        <v>0</v>
      </c>
      <c r="J11" s="21" t="b">
        <v>1</v>
      </c>
      <c r="K11" s="21" t="b">
        <v>1</v>
      </c>
      <c r="L11" s="21" t="b">
        <v>1</v>
      </c>
      <c r="M11" s="21" t="b">
        <v>1</v>
      </c>
      <c r="N11" s="21" t="b">
        <v>1</v>
      </c>
      <c r="O11" s="21" t="b">
        <v>1</v>
      </c>
      <c r="P11" s="21" t="b">
        <v>1</v>
      </c>
      <c r="Q11" s="21" t="b">
        <v>1</v>
      </c>
      <c r="R11" s="21" t="b">
        <v>1</v>
      </c>
      <c r="S11" s="21" t="b">
        <v>1</v>
      </c>
      <c r="T11" s="21" t="b">
        <v>1</v>
      </c>
      <c r="U11" s="21" t="b">
        <v>1</v>
      </c>
      <c r="V11" s="21" t="b">
        <v>1</v>
      </c>
      <c r="W11" s="21" t="b">
        <v>1</v>
      </c>
      <c r="X11" s="21" t="b">
        <v>1</v>
      </c>
      <c r="Y11" s="21" t="b">
        <v>1</v>
      </c>
      <c r="Z11" s="21" t="b">
        <v>1</v>
      </c>
      <c r="AA11" s="21" t="b">
        <v>0</v>
      </c>
      <c r="AB11" s="21" t="b">
        <v>0</v>
      </c>
      <c r="AC11" s="21" t="b">
        <v>0</v>
      </c>
      <c r="AD11" s="21" t="b">
        <v>0</v>
      </c>
      <c r="AE11" s="21" t="b">
        <v>0</v>
      </c>
      <c r="AF11" s="21" t="b">
        <v>0</v>
      </c>
      <c r="AG11" s="21" t="b">
        <v>0</v>
      </c>
      <c r="AH11" s="21" t="b">
        <v>0</v>
      </c>
      <c r="AI11" s="21" t="b">
        <v>0</v>
      </c>
    </row>
    <row r="12" ht="15.75" customHeight="1">
      <c r="A12" s="26" t="s">
        <v>59</v>
      </c>
      <c r="B12" s="14">
        <f t="shared" si="1"/>
        <v>0.9545454545</v>
      </c>
      <c r="C12" s="14">
        <f t="shared" si="2"/>
        <v>0.6774193548</v>
      </c>
      <c r="D12" s="14"/>
      <c r="E12" s="21" t="b">
        <v>1</v>
      </c>
      <c r="F12" s="21" t="b">
        <v>1</v>
      </c>
      <c r="G12" s="21" t="b">
        <v>1</v>
      </c>
      <c r="H12" s="21" t="b">
        <v>0</v>
      </c>
      <c r="I12" s="21" t="b">
        <v>1</v>
      </c>
      <c r="J12" s="21" t="b">
        <v>1</v>
      </c>
      <c r="K12" s="21" t="b">
        <v>1</v>
      </c>
      <c r="L12" s="21" t="b">
        <v>1</v>
      </c>
      <c r="M12" s="21" t="b">
        <v>1</v>
      </c>
      <c r="N12" s="21" t="b">
        <v>1</v>
      </c>
      <c r="O12" s="21" t="b">
        <v>1</v>
      </c>
      <c r="P12" s="21" t="b">
        <v>1</v>
      </c>
      <c r="Q12" s="21" t="b">
        <v>1</v>
      </c>
      <c r="R12" s="21" t="b">
        <v>1</v>
      </c>
      <c r="S12" s="21" t="b">
        <v>1</v>
      </c>
      <c r="T12" s="21" t="b">
        <v>1</v>
      </c>
      <c r="U12" s="21" t="b">
        <v>1</v>
      </c>
      <c r="V12" s="21" t="b">
        <v>1</v>
      </c>
      <c r="W12" s="21" t="b">
        <v>1</v>
      </c>
      <c r="X12" s="21" t="b">
        <v>1</v>
      </c>
      <c r="Y12" s="21" t="b">
        <v>1</v>
      </c>
      <c r="Z12" s="21" t="b">
        <v>1</v>
      </c>
      <c r="AA12" s="21" t="b">
        <v>0</v>
      </c>
      <c r="AB12" s="21" t="b">
        <v>0</v>
      </c>
      <c r="AC12" s="21" t="b">
        <v>0</v>
      </c>
      <c r="AD12" s="21" t="b">
        <v>0</v>
      </c>
      <c r="AE12" s="21" t="b">
        <v>0</v>
      </c>
      <c r="AF12" s="21" t="b">
        <v>0</v>
      </c>
      <c r="AG12" s="21" t="b">
        <v>0</v>
      </c>
      <c r="AH12" s="21" t="b">
        <v>0</v>
      </c>
      <c r="AI12" s="21" t="b">
        <v>0</v>
      </c>
    </row>
    <row r="13" ht="15.75" customHeight="1">
      <c r="A13" s="26" t="s">
        <v>60</v>
      </c>
      <c r="B13" s="14">
        <f t="shared" si="1"/>
        <v>0.9545454545</v>
      </c>
      <c r="C13" s="14">
        <f t="shared" si="2"/>
        <v>0.6774193548</v>
      </c>
      <c r="D13" s="14"/>
      <c r="E13" s="21" t="b">
        <v>1</v>
      </c>
      <c r="F13" s="21" t="b">
        <v>1</v>
      </c>
      <c r="G13" s="21" t="b">
        <v>1</v>
      </c>
      <c r="H13" s="21" t="b">
        <v>0</v>
      </c>
      <c r="I13" s="21" t="b">
        <v>1</v>
      </c>
      <c r="J13" s="21" t="b">
        <v>1</v>
      </c>
      <c r="K13" s="21" t="b">
        <v>1</v>
      </c>
      <c r="L13" s="21" t="b">
        <v>1</v>
      </c>
      <c r="M13" s="21" t="b">
        <v>1</v>
      </c>
      <c r="N13" s="21" t="b">
        <v>1</v>
      </c>
      <c r="O13" s="21" t="b">
        <v>1</v>
      </c>
      <c r="P13" s="21" t="b">
        <v>1</v>
      </c>
      <c r="Q13" s="21" t="b">
        <v>1</v>
      </c>
      <c r="R13" s="21" t="b">
        <v>1</v>
      </c>
      <c r="S13" s="21" t="b">
        <v>1</v>
      </c>
      <c r="T13" s="21" t="b">
        <v>1</v>
      </c>
      <c r="U13" s="21" t="b">
        <v>1</v>
      </c>
      <c r="V13" s="21" t="b">
        <v>1</v>
      </c>
      <c r="W13" s="21" t="b">
        <v>1</v>
      </c>
      <c r="X13" s="21" t="b">
        <v>1</v>
      </c>
      <c r="Y13" s="21" t="b">
        <v>1</v>
      </c>
      <c r="Z13" s="21" t="b">
        <v>1</v>
      </c>
      <c r="AA13" s="21" t="b">
        <v>0</v>
      </c>
      <c r="AB13" s="21" t="b">
        <v>0</v>
      </c>
      <c r="AC13" s="21" t="b">
        <v>0</v>
      </c>
      <c r="AD13" s="21" t="b">
        <v>0</v>
      </c>
      <c r="AE13" s="21" t="b">
        <v>0</v>
      </c>
      <c r="AF13" s="21" t="b">
        <v>0</v>
      </c>
      <c r="AG13" s="21" t="b">
        <v>0</v>
      </c>
      <c r="AH13" s="21" t="b">
        <v>0</v>
      </c>
      <c r="AI13" s="21" t="b">
        <v>0</v>
      </c>
    </row>
    <row r="14" ht="15.75" customHeight="1">
      <c r="A14" s="26" t="s">
        <v>61</v>
      </c>
      <c r="B14" s="14">
        <f t="shared" si="1"/>
        <v>0.9545454545</v>
      </c>
      <c r="C14" s="14">
        <f t="shared" si="2"/>
        <v>0.6774193548</v>
      </c>
      <c r="D14" s="14"/>
      <c r="E14" s="21" t="b">
        <v>1</v>
      </c>
      <c r="F14" s="21" t="b">
        <v>1</v>
      </c>
      <c r="G14" s="21" t="b">
        <v>1</v>
      </c>
      <c r="H14" s="21" t="b">
        <v>0</v>
      </c>
      <c r="I14" s="21" t="b">
        <v>1</v>
      </c>
      <c r="J14" s="21" t="b">
        <v>1</v>
      </c>
      <c r="K14" s="21" t="b">
        <v>1</v>
      </c>
      <c r="L14" s="21" t="b">
        <v>1</v>
      </c>
      <c r="M14" s="21" t="b">
        <v>1</v>
      </c>
      <c r="N14" s="21" t="b">
        <v>1</v>
      </c>
      <c r="O14" s="21" t="b">
        <v>1</v>
      </c>
      <c r="P14" s="21" t="b">
        <v>1</v>
      </c>
      <c r="Q14" s="21" t="b">
        <v>1</v>
      </c>
      <c r="R14" s="21" t="b">
        <v>1</v>
      </c>
      <c r="S14" s="21" t="b">
        <v>1</v>
      </c>
      <c r="T14" s="21" t="b">
        <v>1</v>
      </c>
      <c r="U14" s="21" t="b">
        <v>1</v>
      </c>
      <c r="V14" s="21" t="b">
        <v>1</v>
      </c>
      <c r="W14" s="21" t="b">
        <v>1</v>
      </c>
      <c r="X14" s="21" t="b">
        <v>1</v>
      </c>
      <c r="Y14" s="21" t="b">
        <v>1</v>
      </c>
      <c r="Z14" s="21" t="b">
        <v>1</v>
      </c>
      <c r="AA14" s="21" t="b">
        <v>0</v>
      </c>
      <c r="AB14" s="21" t="b">
        <v>0</v>
      </c>
      <c r="AC14" s="21" t="b">
        <v>0</v>
      </c>
      <c r="AD14" s="21" t="b">
        <v>0</v>
      </c>
      <c r="AE14" s="21" t="b">
        <v>0</v>
      </c>
      <c r="AF14" s="21" t="b">
        <v>0</v>
      </c>
      <c r="AG14" s="21" t="b">
        <v>0</v>
      </c>
      <c r="AH14" s="21" t="b">
        <v>0</v>
      </c>
      <c r="AI14" s="21" t="b">
        <v>0</v>
      </c>
    </row>
    <row r="15" ht="15.75" customHeight="1">
      <c r="A15" s="26" t="s">
        <v>62</v>
      </c>
      <c r="B15" s="14">
        <f t="shared" si="1"/>
        <v>0.7272727273</v>
      </c>
      <c r="C15" s="14">
        <f t="shared" si="2"/>
        <v>0.5161290323</v>
      </c>
      <c r="D15" s="14"/>
      <c r="E15" s="21" t="b">
        <v>1</v>
      </c>
      <c r="F15" s="21" t="b">
        <v>0</v>
      </c>
      <c r="G15" s="21" t="b">
        <v>0</v>
      </c>
      <c r="H15" s="21" t="b">
        <v>0</v>
      </c>
      <c r="I15" s="21" t="b">
        <v>0</v>
      </c>
      <c r="J15" s="21" t="b">
        <v>0</v>
      </c>
      <c r="K15" s="21" t="b">
        <v>1</v>
      </c>
      <c r="L15" s="21" t="b">
        <v>1</v>
      </c>
      <c r="M15" s="21" t="b">
        <v>1</v>
      </c>
      <c r="N15" s="21" t="b">
        <v>1</v>
      </c>
      <c r="O15" s="21" t="b">
        <v>1</v>
      </c>
      <c r="P15" s="21" t="b">
        <v>0</v>
      </c>
      <c r="Q15" s="21" t="b">
        <v>1</v>
      </c>
      <c r="R15" s="21" t="b">
        <v>1</v>
      </c>
      <c r="S15" s="21" t="b">
        <v>1</v>
      </c>
      <c r="T15" s="21" t="b">
        <v>1</v>
      </c>
      <c r="U15" s="21" t="b">
        <v>1</v>
      </c>
      <c r="V15" s="21" t="b">
        <v>1</v>
      </c>
      <c r="W15" s="21" t="b">
        <v>1</v>
      </c>
      <c r="X15" s="21" t="b">
        <v>1</v>
      </c>
      <c r="Y15" s="21" t="b">
        <v>1</v>
      </c>
      <c r="Z15" s="21" t="b">
        <v>1</v>
      </c>
      <c r="AA15" s="21" t="b">
        <v>0</v>
      </c>
      <c r="AB15" s="21" t="b">
        <v>0</v>
      </c>
      <c r="AC15" s="21" t="b">
        <v>0</v>
      </c>
      <c r="AD15" s="21" t="b">
        <v>0</v>
      </c>
      <c r="AE15" s="21" t="b">
        <v>0</v>
      </c>
      <c r="AF15" s="21" t="b">
        <v>0</v>
      </c>
      <c r="AG15" s="21" t="b">
        <v>0</v>
      </c>
      <c r="AH15" s="21" t="b">
        <v>0</v>
      </c>
      <c r="AI15" s="21" t="b">
        <v>0</v>
      </c>
    </row>
    <row r="16" ht="15.75" customHeight="1">
      <c r="A16" s="26" t="s">
        <v>63</v>
      </c>
      <c r="B16" s="14">
        <f t="shared" si="1"/>
        <v>0.8636363636</v>
      </c>
      <c r="C16" s="14">
        <f t="shared" si="2"/>
        <v>0.6129032258</v>
      </c>
      <c r="D16" s="14"/>
      <c r="E16" s="21" t="b">
        <v>1</v>
      </c>
      <c r="F16" s="21" t="b">
        <v>1</v>
      </c>
      <c r="G16" s="21" t="b">
        <v>0</v>
      </c>
      <c r="H16" s="21" t="b">
        <v>0</v>
      </c>
      <c r="I16" s="21" t="b">
        <v>1</v>
      </c>
      <c r="J16" s="21" t="b">
        <v>1</v>
      </c>
      <c r="K16" s="21" t="b">
        <v>1</v>
      </c>
      <c r="L16" s="21" t="b">
        <v>1</v>
      </c>
      <c r="M16" s="21" t="b">
        <v>1</v>
      </c>
      <c r="N16" s="21" t="b">
        <v>1</v>
      </c>
      <c r="O16" s="21" t="b">
        <v>1</v>
      </c>
      <c r="P16" s="21" t="b">
        <v>0</v>
      </c>
      <c r="Q16" s="21" t="b">
        <v>1</v>
      </c>
      <c r="R16" s="21" t="b">
        <v>1</v>
      </c>
      <c r="S16" s="21" t="b">
        <v>1</v>
      </c>
      <c r="T16" s="21" t="b">
        <v>1</v>
      </c>
      <c r="U16" s="21" t="b">
        <v>1</v>
      </c>
      <c r="V16" s="21" t="b">
        <v>1</v>
      </c>
      <c r="W16" s="21" t="b">
        <v>1</v>
      </c>
      <c r="X16" s="21" t="b">
        <v>1</v>
      </c>
      <c r="Y16" s="21" t="b">
        <v>1</v>
      </c>
      <c r="Z16" s="21" t="b">
        <v>1</v>
      </c>
      <c r="AA16" s="21" t="b">
        <v>0</v>
      </c>
      <c r="AB16" s="21" t="b">
        <v>0</v>
      </c>
      <c r="AC16" s="21" t="b">
        <v>0</v>
      </c>
      <c r="AD16" s="21" t="b">
        <v>0</v>
      </c>
      <c r="AE16" s="21" t="b">
        <v>0</v>
      </c>
      <c r="AF16" s="21" t="b">
        <v>0</v>
      </c>
      <c r="AG16" s="21" t="b">
        <v>0</v>
      </c>
      <c r="AH16" s="21" t="b">
        <v>0</v>
      </c>
      <c r="AI16" s="21" t="b">
        <v>0</v>
      </c>
    </row>
    <row r="17" ht="15.75" customHeight="1">
      <c r="A17" s="10" t="s">
        <v>64</v>
      </c>
      <c r="B17" s="10">
        <v>22.0</v>
      </c>
      <c r="C17" s="10">
        <v>31.0</v>
      </c>
      <c r="E17" s="10">
        <f t="shared" ref="E17:AI17" si="3">COUNTIF(E2:E16, TRUE)</f>
        <v>10</v>
      </c>
      <c r="F17" s="10">
        <f t="shared" si="3"/>
        <v>11</v>
      </c>
      <c r="G17" s="10">
        <f t="shared" si="3"/>
        <v>7</v>
      </c>
      <c r="H17" s="10">
        <f t="shared" si="3"/>
        <v>3</v>
      </c>
      <c r="I17" s="10">
        <f t="shared" si="3"/>
        <v>9</v>
      </c>
      <c r="J17" s="10">
        <f t="shared" si="3"/>
        <v>12</v>
      </c>
      <c r="K17" s="10">
        <f t="shared" si="3"/>
        <v>15</v>
      </c>
      <c r="L17" s="10">
        <f t="shared" si="3"/>
        <v>15</v>
      </c>
      <c r="M17" s="10">
        <f t="shared" si="3"/>
        <v>15</v>
      </c>
      <c r="N17" s="10">
        <f t="shared" si="3"/>
        <v>15</v>
      </c>
      <c r="O17" s="10">
        <f t="shared" si="3"/>
        <v>15</v>
      </c>
      <c r="P17" s="10">
        <f t="shared" si="3"/>
        <v>9</v>
      </c>
      <c r="Q17" s="10">
        <f t="shared" si="3"/>
        <v>15</v>
      </c>
      <c r="R17" s="10">
        <f t="shared" si="3"/>
        <v>15</v>
      </c>
      <c r="S17" s="10">
        <f t="shared" si="3"/>
        <v>15</v>
      </c>
      <c r="T17" s="10">
        <f t="shared" si="3"/>
        <v>15</v>
      </c>
      <c r="U17" s="10">
        <f t="shared" si="3"/>
        <v>15</v>
      </c>
      <c r="V17" s="10">
        <f t="shared" si="3"/>
        <v>15</v>
      </c>
      <c r="W17" s="10">
        <f t="shared" si="3"/>
        <v>15</v>
      </c>
      <c r="X17" s="10">
        <f t="shared" si="3"/>
        <v>15</v>
      </c>
      <c r="Y17" s="10">
        <f t="shared" si="3"/>
        <v>15</v>
      </c>
      <c r="Z17" s="10">
        <f t="shared" si="3"/>
        <v>15</v>
      </c>
      <c r="AA17" s="10">
        <f t="shared" si="3"/>
        <v>1</v>
      </c>
      <c r="AB17" s="10">
        <f t="shared" si="3"/>
        <v>0</v>
      </c>
      <c r="AC17" s="10">
        <f t="shared" si="3"/>
        <v>0</v>
      </c>
      <c r="AD17" s="10">
        <f t="shared" si="3"/>
        <v>0</v>
      </c>
      <c r="AE17" s="10">
        <f t="shared" si="3"/>
        <v>0</v>
      </c>
      <c r="AF17" s="10">
        <f t="shared" si="3"/>
        <v>0</v>
      </c>
      <c r="AG17" s="10">
        <f t="shared" si="3"/>
        <v>0</v>
      </c>
      <c r="AH17" s="10">
        <f t="shared" si="3"/>
        <v>0</v>
      </c>
      <c r="AI17" s="10">
        <f t="shared" si="3"/>
        <v>0</v>
      </c>
    </row>
    <row r="18" ht="15.75" customHeight="1"/>
    <row r="19" ht="15.75" customHeight="1">
      <c r="E19" s="33" t="s">
        <v>65</v>
      </c>
    </row>
    <row r="20" ht="15.75" customHeight="1">
      <c r="E20" s="34" t="s">
        <v>66</v>
      </c>
    </row>
    <row r="21" ht="15.75" customHeight="1">
      <c r="E21" s="36" t="s">
        <v>28</v>
      </c>
    </row>
    <row r="22" ht="15.75" customHeight="1">
      <c r="A22" s="10"/>
      <c r="B22" s="10"/>
      <c r="E22" s="37" t="s">
        <v>68</v>
      </c>
    </row>
    <row r="23" ht="15.75" customHeight="1">
      <c r="A23" s="10"/>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E2:AI16">
    <cfRule type="cellIs" dxfId="0" priority="1" operator="equal">
      <formula>"TRUE"</formula>
    </cfRule>
  </conditionalFormatting>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xSplit="1.0" topLeftCell="B1" activePane="topRight" state="frozen"/>
      <selection activeCell="C2" sqref="C2" pane="topRight"/>
    </sheetView>
  </sheetViews>
  <sheetFormatPr customHeight="1" defaultColWidth="12.63" defaultRowHeight="15.0"/>
  <cols>
    <col customWidth="1" min="1" max="1" width="12.63"/>
    <col customWidth="1" min="2" max="2" width="7.0"/>
    <col customWidth="1" min="3" max="4" width="7.38"/>
    <col customWidth="1" min="5" max="6" width="12.63"/>
  </cols>
  <sheetData>
    <row r="1" ht="15.75" customHeight="1">
      <c r="B1" s="10" t="s">
        <v>29</v>
      </c>
      <c r="C1" s="10" t="s">
        <v>30</v>
      </c>
      <c r="D1" s="10" t="s">
        <v>31</v>
      </c>
      <c r="E1" s="21" t="s">
        <v>219</v>
      </c>
      <c r="F1" s="21" t="s">
        <v>220</v>
      </c>
      <c r="G1" s="21" t="s">
        <v>221</v>
      </c>
      <c r="H1" s="21" t="s">
        <v>222</v>
      </c>
      <c r="I1" s="21" t="s">
        <v>223</v>
      </c>
      <c r="J1" s="21" t="s">
        <v>224</v>
      </c>
      <c r="K1" s="21" t="s">
        <v>225</v>
      </c>
      <c r="L1" s="21" t="s">
        <v>226</v>
      </c>
      <c r="M1" s="21" t="s">
        <v>227</v>
      </c>
      <c r="N1" s="21" t="s">
        <v>228</v>
      </c>
      <c r="O1" s="21" t="s">
        <v>229</v>
      </c>
      <c r="P1" s="23" t="s">
        <v>93</v>
      </c>
      <c r="Q1" s="23" t="s">
        <v>93</v>
      </c>
      <c r="R1" s="25" t="s">
        <v>125</v>
      </c>
      <c r="S1" s="25" t="s">
        <v>125</v>
      </c>
      <c r="T1" s="24" t="s">
        <v>230</v>
      </c>
      <c r="U1" s="24" t="s">
        <v>231</v>
      </c>
      <c r="V1" s="24" t="s">
        <v>232</v>
      </c>
      <c r="W1" s="24" t="s">
        <v>233</v>
      </c>
      <c r="X1" s="24" t="s">
        <v>234</v>
      </c>
      <c r="Y1" s="24" t="s">
        <v>235</v>
      </c>
      <c r="Z1" s="24" t="s">
        <v>236</v>
      </c>
      <c r="AA1" s="24" t="s">
        <v>237</v>
      </c>
      <c r="AB1" s="24" t="s">
        <v>238</v>
      </c>
      <c r="AC1" s="24" t="s">
        <v>239</v>
      </c>
      <c r="AD1" s="24" t="s">
        <v>240</v>
      </c>
    </row>
    <row r="2" ht="15.75" customHeight="1">
      <c r="A2" s="26" t="s">
        <v>49</v>
      </c>
      <c r="B2" s="14">
        <f t="shared" ref="B2:B16" si="1">COUNTIF(E2:Q2, TRUE) / COUNTA(E2:Q2)</f>
        <v>0.3846153846</v>
      </c>
      <c r="C2" s="14">
        <f t="shared" ref="C2:C16" si="2">COUNTIF(E2:AD2, TRUE) / COUNTA(E2:AD2)</f>
        <v>0.2307692308</v>
      </c>
      <c r="D2" s="14"/>
      <c r="E2" s="21" t="b">
        <v>0</v>
      </c>
      <c r="F2" s="21" t="b">
        <v>1</v>
      </c>
      <c r="G2" s="21" t="b">
        <v>0</v>
      </c>
      <c r="H2" s="21" t="b">
        <v>1</v>
      </c>
      <c r="I2" s="21" t="b">
        <v>0</v>
      </c>
      <c r="J2" s="21" t="b">
        <v>0</v>
      </c>
      <c r="K2" s="21" t="b">
        <v>0</v>
      </c>
      <c r="L2" s="21" t="b">
        <v>0</v>
      </c>
      <c r="M2" s="21" t="b">
        <v>1</v>
      </c>
      <c r="N2" s="21" t="b">
        <v>0</v>
      </c>
      <c r="O2" s="21" t="b">
        <v>0</v>
      </c>
      <c r="P2" s="21" t="b">
        <v>1</v>
      </c>
      <c r="Q2" s="21" t="b">
        <v>1</v>
      </c>
      <c r="R2" s="21" t="b">
        <v>1</v>
      </c>
      <c r="S2" s="21" t="b">
        <v>0</v>
      </c>
      <c r="T2" s="21" t="b">
        <v>0</v>
      </c>
      <c r="U2" s="21" t="b">
        <v>0</v>
      </c>
      <c r="V2" s="21" t="b">
        <v>0</v>
      </c>
      <c r="W2" s="21" t="b">
        <v>0</v>
      </c>
      <c r="X2" s="21" t="b">
        <v>0</v>
      </c>
      <c r="Y2" s="21" t="b">
        <v>0</v>
      </c>
      <c r="Z2" s="21" t="b">
        <v>0</v>
      </c>
      <c r="AA2" s="21" t="b">
        <v>0</v>
      </c>
      <c r="AB2" s="21" t="b">
        <v>0</v>
      </c>
      <c r="AC2" s="21" t="b">
        <v>0</v>
      </c>
      <c r="AD2" s="21" t="b">
        <v>0</v>
      </c>
      <c r="AE2" s="21"/>
      <c r="AF2" s="21"/>
    </row>
    <row r="3" ht="15.75" customHeight="1">
      <c r="A3" s="26" t="s">
        <v>50</v>
      </c>
      <c r="B3" s="14">
        <f t="shared" si="1"/>
        <v>0.4615384615</v>
      </c>
      <c r="C3" s="14">
        <f t="shared" si="2"/>
        <v>0.3461538462</v>
      </c>
      <c r="D3" s="14"/>
      <c r="E3" s="21" t="b">
        <v>0</v>
      </c>
      <c r="F3" s="21" t="b">
        <v>0</v>
      </c>
      <c r="G3" s="21" t="b">
        <v>0</v>
      </c>
      <c r="H3" s="21" t="b">
        <v>0</v>
      </c>
      <c r="I3" s="21" t="b">
        <v>0</v>
      </c>
      <c r="J3" s="21" t="b">
        <v>1</v>
      </c>
      <c r="K3" s="21" t="b">
        <v>0</v>
      </c>
      <c r="L3" s="21" t="b">
        <v>0</v>
      </c>
      <c r="M3" s="21" t="b">
        <v>1</v>
      </c>
      <c r="N3" s="21" t="b">
        <v>1</v>
      </c>
      <c r="O3" s="21" t="b">
        <v>1</v>
      </c>
      <c r="P3" s="21" t="b">
        <v>1</v>
      </c>
      <c r="Q3" s="21" t="b">
        <v>1</v>
      </c>
      <c r="R3" s="21" t="b">
        <v>0</v>
      </c>
      <c r="S3" s="21" t="b">
        <v>0</v>
      </c>
      <c r="T3" s="21" t="b">
        <v>0</v>
      </c>
      <c r="U3" s="21" t="b">
        <v>0</v>
      </c>
      <c r="V3" s="21" t="b">
        <v>1</v>
      </c>
      <c r="W3" s="21" t="b">
        <v>0</v>
      </c>
      <c r="X3" s="21" t="b">
        <v>0</v>
      </c>
      <c r="Y3" s="21" t="b">
        <v>0</v>
      </c>
      <c r="Z3" s="21" t="b">
        <v>0</v>
      </c>
      <c r="AA3" s="21" t="b">
        <v>1</v>
      </c>
      <c r="AB3" s="21" t="b">
        <v>1</v>
      </c>
      <c r="AC3" s="21" t="b">
        <v>0</v>
      </c>
      <c r="AD3" s="21" t="b">
        <v>0</v>
      </c>
      <c r="AE3" s="21"/>
      <c r="AF3" s="21"/>
    </row>
    <row r="4" ht="15.75" customHeight="1">
      <c r="A4" s="26" t="s">
        <v>51</v>
      </c>
      <c r="B4" s="14">
        <f t="shared" si="1"/>
        <v>0.3076923077</v>
      </c>
      <c r="C4" s="14">
        <f t="shared" si="2"/>
        <v>0.1538461538</v>
      </c>
      <c r="D4" s="14"/>
      <c r="E4" s="21" t="b">
        <v>0</v>
      </c>
      <c r="F4" s="21" t="b">
        <v>0</v>
      </c>
      <c r="G4" s="21" t="b">
        <v>0</v>
      </c>
      <c r="H4" s="21" t="b">
        <v>0</v>
      </c>
      <c r="I4" s="21" t="b">
        <v>0</v>
      </c>
      <c r="J4" s="21" t="b">
        <v>0</v>
      </c>
      <c r="K4" s="21" t="b">
        <v>0</v>
      </c>
      <c r="L4" s="21" t="b">
        <v>0</v>
      </c>
      <c r="M4" s="21" t="b">
        <v>1</v>
      </c>
      <c r="N4" s="21" t="b">
        <v>1</v>
      </c>
      <c r="O4" s="21" t="b">
        <v>0</v>
      </c>
      <c r="P4" s="21" t="b">
        <v>1</v>
      </c>
      <c r="Q4" s="21" t="b">
        <v>1</v>
      </c>
      <c r="R4" s="21" t="b">
        <v>0</v>
      </c>
      <c r="S4" s="21" t="b">
        <v>0</v>
      </c>
      <c r="T4" s="21" t="b">
        <v>0</v>
      </c>
      <c r="U4" s="21" t="b">
        <v>0</v>
      </c>
      <c r="V4" s="21" t="b">
        <v>0</v>
      </c>
      <c r="W4" s="21" t="b">
        <v>0</v>
      </c>
      <c r="X4" s="21" t="b">
        <v>0</v>
      </c>
      <c r="Y4" s="21" t="b">
        <v>0</v>
      </c>
      <c r="Z4" s="21" t="b">
        <v>0</v>
      </c>
      <c r="AA4" s="21" t="b">
        <v>0</v>
      </c>
      <c r="AB4" s="21" t="b">
        <v>0</v>
      </c>
      <c r="AC4" s="21" t="b">
        <v>0</v>
      </c>
      <c r="AD4" s="21" t="b">
        <v>0</v>
      </c>
      <c r="AE4" s="21"/>
      <c r="AF4" s="21"/>
    </row>
    <row r="5" ht="15.75" customHeight="1">
      <c r="A5" s="26" t="s">
        <v>52</v>
      </c>
      <c r="B5" s="14">
        <f t="shared" si="1"/>
        <v>0.3076923077</v>
      </c>
      <c r="C5" s="14">
        <f t="shared" si="2"/>
        <v>0.1923076923</v>
      </c>
      <c r="D5" s="14"/>
      <c r="E5" s="21" t="b">
        <v>0</v>
      </c>
      <c r="F5" s="21" t="b">
        <v>0</v>
      </c>
      <c r="G5" s="21" t="b">
        <v>0</v>
      </c>
      <c r="H5" s="21" t="b">
        <v>0</v>
      </c>
      <c r="I5" s="21" t="b">
        <v>0</v>
      </c>
      <c r="J5" s="21" t="b">
        <v>0</v>
      </c>
      <c r="K5" s="21" t="b">
        <v>0</v>
      </c>
      <c r="L5" s="21" t="b">
        <v>0</v>
      </c>
      <c r="M5" s="21" t="b">
        <v>1</v>
      </c>
      <c r="N5" s="21" t="b">
        <v>1</v>
      </c>
      <c r="O5" s="21" t="b">
        <v>0</v>
      </c>
      <c r="P5" s="21" t="b">
        <v>1</v>
      </c>
      <c r="Q5" s="21" t="b">
        <v>1</v>
      </c>
      <c r="R5" s="21" t="b">
        <v>0</v>
      </c>
      <c r="S5" s="21" t="b">
        <v>0</v>
      </c>
      <c r="T5" s="21" t="b">
        <v>0</v>
      </c>
      <c r="U5" s="21" t="b">
        <v>0</v>
      </c>
      <c r="V5" s="21" t="b">
        <v>1</v>
      </c>
      <c r="W5" s="21" t="b">
        <v>0</v>
      </c>
      <c r="X5" s="21" t="b">
        <v>0</v>
      </c>
      <c r="Y5" s="21" t="b">
        <v>0</v>
      </c>
      <c r="Z5" s="21" t="b">
        <v>0</v>
      </c>
      <c r="AA5" s="21" t="b">
        <v>0</v>
      </c>
      <c r="AB5" s="21" t="b">
        <v>0</v>
      </c>
      <c r="AC5" s="21" t="b">
        <v>0</v>
      </c>
      <c r="AD5" s="21" t="b">
        <v>0</v>
      </c>
      <c r="AE5" s="21"/>
      <c r="AF5" s="21"/>
    </row>
    <row r="6" ht="15.75" customHeight="1">
      <c r="A6" s="26" t="s">
        <v>53</v>
      </c>
      <c r="B6" s="14">
        <f t="shared" si="1"/>
        <v>0.5384615385</v>
      </c>
      <c r="C6" s="14">
        <f t="shared" si="2"/>
        <v>0.2692307692</v>
      </c>
      <c r="D6" s="14"/>
      <c r="E6" s="21" t="b">
        <v>0</v>
      </c>
      <c r="F6" s="21" t="b">
        <v>1</v>
      </c>
      <c r="G6" s="21" t="b">
        <v>0</v>
      </c>
      <c r="H6" s="21" t="b">
        <v>1</v>
      </c>
      <c r="I6" s="21" t="b">
        <v>0</v>
      </c>
      <c r="J6" s="21" t="b">
        <v>0</v>
      </c>
      <c r="K6" s="21" t="b">
        <v>0</v>
      </c>
      <c r="L6" s="21" t="b">
        <v>0</v>
      </c>
      <c r="M6" s="21" t="b">
        <v>1</v>
      </c>
      <c r="N6" s="21" t="b">
        <v>1</v>
      </c>
      <c r="O6" s="21" t="b">
        <v>1</v>
      </c>
      <c r="P6" s="21" t="b">
        <v>1</v>
      </c>
      <c r="Q6" s="21" t="b">
        <v>1</v>
      </c>
      <c r="R6" s="21" t="b">
        <v>0</v>
      </c>
      <c r="S6" s="21" t="b">
        <v>0</v>
      </c>
      <c r="T6" s="21" t="b">
        <v>0</v>
      </c>
      <c r="U6" s="21" t="b">
        <v>0</v>
      </c>
      <c r="V6" s="21" t="b">
        <v>0</v>
      </c>
      <c r="W6" s="21" t="b">
        <v>0</v>
      </c>
      <c r="X6" s="21" t="b">
        <v>0</v>
      </c>
      <c r="Y6" s="21" t="b">
        <v>0</v>
      </c>
      <c r="Z6" s="21" t="b">
        <v>0</v>
      </c>
      <c r="AA6" s="21" t="b">
        <v>0</v>
      </c>
      <c r="AB6" s="21" t="b">
        <v>0</v>
      </c>
      <c r="AC6" s="21" t="b">
        <v>0</v>
      </c>
      <c r="AD6" s="21" t="b">
        <v>0</v>
      </c>
      <c r="AE6" s="21"/>
      <c r="AF6" s="21"/>
    </row>
    <row r="7" ht="15.75" customHeight="1">
      <c r="A7" s="26" t="s">
        <v>54</v>
      </c>
      <c r="B7" s="14">
        <f t="shared" si="1"/>
        <v>0.6153846154</v>
      </c>
      <c r="C7" s="14">
        <f t="shared" si="2"/>
        <v>0.4230769231</v>
      </c>
      <c r="D7" s="14"/>
      <c r="E7" s="21" t="b">
        <v>1</v>
      </c>
      <c r="F7" s="21" t="b">
        <v>1</v>
      </c>
      <c r="G7" s="21" t="b">
        <v>0</v>
      </c>
      <c r="H7" s="21" t="b">
        <v>1</v>
      </c>
      <c r="I7" s="21" t="b">
        <v>0</v>
      </c>
      <c r="J7" s="21" t="b">
        <v>0</v>
      </c>
      <c r="K7" s="21" t="b">
        <v>0</v>
      </c>
      <c r="L7" s="21" t="b">
        <v>0</v>
      </c>
      <c r="M7" s="21" t="b">
        <v>1</v>
      </c>
      <c r="N7" s="21" t="b">
        <v>1</v>
      </c>
      <c r="O7" s="21" t="b">
        <v>1</v>
      </c>
      <c r="P7" s="21" t="b">
        <v>1</v>
      </c>
      <c r="Q7" s="21" t="b">
        <v>1</v>
      </c>
      <c r="R7" s="21" t="b">
        <v>1</v>
      </c>
      <c r="S7" s="21" t="b">
        <v>0</v>
      </c>
      <c r="T7" s="21" t="b">
        <v>0</v>
      </c>
      <c r="U7" s="21" t="b">
        <v>0</v>
      </c>
      <c r="V7" s="21" t="b">
        <v>0</v>
      </c>
      <c r="W7" s="21" t="b">
        <v>0</v>
      </c>
      <c r="X7" s="21" t="b">
        <v>0</v>
      </c>
      <c r="Y7" s="21" t="b">
        <v>0</v>
      </c>
      <c r="Z7" s="21" t="b">
        <v>1</v>
      </c>
      <c r="AA7" s="21" t="b">
        <v>0</v>
      </c>
      <c r="AB7" s="21" t="b">
        <v>1</v>
      </c>
      <c r="AC7" s="21" t="b">
        <v>0</v>
      </c>
      <c r="AD7" s="21" t="b">
        <v>0</v>
      </c>
      <c r="AE7" s="21"/>
      <c r="AF7" s="21"/>
    </row>
    <row r="8" ht="15.75" customHeight="1">
      <c r="A8" s="26" t="s">
        <v>55</v>
      </c>
      <c r="B8" s="14">
        <f t="shared" si="1"/>
        <v>0.3846153846</v>
      </c>
      <c r="C8" s="14">
        <f t="shared" si="2"/>
        <v>0.1923076923</v>
      </c>
      <c r="D8" s="14"/>
      <c r="E8" s="21" t="b">
        <v>0</v>
      </c>
      <c r="F8" s="21" t="b">
        <v>0</v>
      </c>
      <c r="G8" s="21" t="b">
        <v>0</v>
      </c>
      <c r="H8" s="21" t="b">
        <v>0</v>
      </c>
      <c r="I8" s="21" t="b">
        <v>0</v>
      </c>
      <c r="J8" s="21" t="b">
        <v>0</v>
      </c>
      <c r="K8" s="21" t="b">
        <v>0</v>
      </c>
      <c r="L8" s="21" t="b">
        <v>0</v>
      </c>
      <c r="M8" s="21" t="b">
        <v>1</v>
      </c>
      <c r="N8" s="21" t="b">
        <v>1</v>
      </c>
      <c r="O8" s="21" t="b">
        <v>1</v>
      </c>
      <c r="P8" s="21" t="b">
        <v>1</v>
      </c>
      <c r="Q8" s="21" t="b">
        <v>1</v>
      </c>
      <c r="R8" s="21" t="b">
        <v>0</v>
      </c>
      <c r="S8" s="21" t="b">
        <v>0</v>
      </c>
      <c r="T8" s="21" t="b">
        <v>0</v>
      </c>
      <c r="U8" s="21" t="b">
        <v>0</v>
      </c>
      <c r="V8" s="21" t="b">
        <v>0</v>
      </c>
      <c r="W8" s="21" t="b">
        <v>0</v>
      </c>
      <c r="X8" s="21" t="b">
        <v>0</v>
      </c>
      <c r="Y8" s="21" t="b">
        <v>0</v>
      </c>
      <c r="Z8" s="21" t="b">
        <v>0</v>
      </c>
      <c r="AA8" s="21" t="b">
        <v>0</v>
      </c>
      <c r="AB8" s="21" t="b">
        <v>0</v>
      </c>
      <c r="AC8" s="21" t="b">
        <v>0</v>
      </c>
      <c r="AD8" s="21" t="b">
        <v>0</v>
      </c>
      <c r="AE8" s="21"/>
      <c r="AF8" s="21"/>
    </row>
    <row r="9" ht="15.75" customHeight="1">
      <c r="A9" s="26" t="s">
        <v>56</v>
      </c>
      <c r="B9" s="14">
        <f t="shared" si="1"/>
        <v>0.4615384615</v>
      </c>
      <c r="C9" s="14">
        <f t="shared" si="2"/>
        <v>0.2692307692</v>
      </c>
      <c r="D9" s="14"/>
      <c r="E9" s="21" t="b">
        <v>0</v>
      </c>
      <c r="F9" s="21" t="b">
        <v>1</v>
      </c>
      <c r="G9" s="21" t="b">
        <v>1</v>
      </c>
      <c r="H9" s="21" t="b">
        <v>0</v>
      </c>
      <c r="I9" s="21" t="b">
        <v>0</v>
      </c>
      <c r="J9" s="21" t="b">
        <v>0</v>
      </c>
      <c r="K9" s="21" t="b">
        <v>0</v>
      </c>
      <c r="L9" s="21" t="b">
        <v>0</v>
      </c>
      <c r="M9" s="21" t="b">
        <v>1</v>
      </c>
      <c r="N9" s="21" t="b">
        <v>1</v>
      </c>
      <c r="O9" s="21" t="b">
        <v>0</v>
      </c>
      <c r="P9" s="21" t="b">
        <v>1</v>
      </c>
      <c r="Q9" s="21" t="b">
        <v>1</v>
      </c>
      <c r="R9" s="21" t="b">
        <v>1</v>
      </c>
      <c r="S9" s="21" t="b">
        <v>0</v>
      </c>
      <c r="T9" s="21" t="b">
        <v>0</v>
      </c>
      <c r="U9" s="21" t="b">
        <v>0</v>
      </c>
      <c r="V9" s="21" t="b">
        <v>0</v>
      </c>
      <c r="W9" s="21" t="b">
        <v>0</v>
      </c>
      <c r="X9" s="21" t="b">
        <v>0</v>
      </c>
      <c r="Y9" s="21" t="b">
        <v>0</v>
      </c>
      <c r="Z9" s="21" t="b">
        <v>0</v>
      </c>
      <c r="AA9" s="21" t="b">
        <v>0</v>
      </c>
      <c r="AB9" s="21" t="b">
        <v>0</v>
      </c>
      <c r="AC9" s="21" t="b">
        <v>0</v>
      </c>
      <c r="AD9" s="21" t="b">
        <v>0</v>
      </c>
      <c r="AE9" s="21"/>
      <c r="AF9" s="21"/>
    </row>
    <row r="10" ht="15.75" customHeight="1">
      <c r="A10" s="26" t="s">
        <v>57</v>
      </c>
      <c r="B10" s="14">
        <f t="shared" si="1"/>
        <v>0.6153846154</v>
      </c>
      <c r="C10" s="14">
        <f t="shared" si="2"/>
        <v>0.3461538462</v>
      </c>
      <c r="D10" s="14"/>
      <c r="E10" s="21" t="b">
        <v>1</v>
      </c>
      <c r="F10" s="21" t="b">
        <v>1</v>
      </c>
      <c r="G10" s="21" t="b">
        <v>0</v>
      </c>
      <c r="H10" s="21" t="b">
        <v>0</v>
      </c>
      <c r="I10" s="21" t="b">
        <v>0</v>
      </c>
      <c r="J10" s="21" t="b">
        <v>0</v>
      </c>
      <c r="K10" s="21" t="b">
        <v>0</v>
      </c>
      <c r="L10" s="21" t="b">
        <v>1</v>
      </c>
      <c r="M10" s="21" t="b">
        <v>1</v>
      </c>
      <c r="N10" s="21" t="b">
        <v>1</v>
      </c>
      <c r="O10" s="21" t="b">
        <v>1</v>
      </c>
      <c r="P10" s="21" t="b">
        <v>1</v>
      </c>
      <c r="Q10" s="21" t="b">
        <v>1</v>
      </c>
      <c r="R10" s="21" t="b">
        <v>0</v>
      </c>
      <c r="S10" s="21" t="b">
        <v>0</v>
      </c>
      <c r="T10" s="21" t="b">
        <v>0</v>
      </c>
      <c r="U10" s="21" t="b">
        <v>0</v>
      </c>
      <c r="V10" s="21" t="b">
        <v>0</v>
      </c>
      <c r="W10" s="21" t="b">
        <v>0</v>
      </c>
      <c r="X10" s="21" t="b">
        <v>0</v>
      </c>
      <c r="Y10" s="21" t="b">
        <v>0</v>
      </c>
      <c r="Z10" s="21" t="b">
        <v>0</v>
      </c>
      <c r="AA10" s="21" t="b">
        <v>0</v>
      </c>
      <c r="AB10" s="21" t="b">
        <v>1</v>
      </c>
      <c r="AC10" s="21" t="b">
        <v>0</v>
      </c>
      <c r="AD10" s="21" t="b">
        <v>0</v>
      </c>
      <c r="AE10" s="21"/>
      <c r="AF10" s="21"/>
    </row>
    <row r="11" ht="15.75" customHeight="1">
      <c r="A11" s="26" t="s">
        <v>58</v>
      </c>
      <c r="B11" s="14">
        <f t="shared" si="1"/>
        <v>0.3076923077</v>
      </c>
      <c r="C11" s="14">
        <f t="shared" si="2"/>
        <v>0.1923076923</v>
      </c>
      <c r="D11" s="14"/>
      <c r="E11" s="21" t="b">
        <v>0</v>
      </c>
      <c r="F11" s="21" t="b">
        <v>0</v>
      </c>
      <c r="G11" s="21" t="b">
        <v>0</v>
      </c>
      <c r="H11" s="21" t="b">
        <v>0</v>
      </c>
      <c r="I11" s="21" t="b">
        <v>0</v>
      </c>
      <c r="J11" s="21" t="b">
        <v>0</v>
      </c>
      <c r="K11" s="21" t="b">
        <v>0</v>
      </c>
      <c r="L11" s="21" t="b">
        <v>0</v>
      </c>
      <c r="M11" s="21" t="b">
        <v>1</v>
      </c>
      <c r="N11" s="21" t="b">
        <v>1</v>
      </c>
      <c r="O11" s="21" t="b">
        <v>0</v>
      </c>
      <c r="P11" s="21" t="b">
        <v>1</v>
      </c>
      <c r="Q11" s="21" t="b">
        <v>1</v>
      </c>
      <c r="R11" s="21" t="b">
        <v>0</v>
      </c>
      <c r="S11" s="21" t="b">
        <v>0</v>
      </c>
      <c r="T11" s="21" t="b">
        <v>0</v>
      </c>
      <c r="U11" s="21" t="b">
        <v>0</v>
      </c>
      <c r="V11" s="21" t="b">
        <v>1</v>
      </c>
      <c r="W11" s="21" t="b">
        <v>0</v>
      </c>
      <c r="X11" s="21" t="b">
        <v>0</v>
      </c>
      <c r="Y11" s="21" t="b">
        <v>0</v>
      </c>
      <c r="Z11" s="21" t="b">
        <v>0</v>
      </c>
      <c r="AA11" s="21" t="b">
        <v>0</v>
      </c>
      <c r="AB11" s="21" t="b">
        <v>0</v>
      </c>
      <c r="AC11" s="21" t="b">
        <v>0</v>
      </c>
      <c r="AD11" s="21" t="b">
        <v>0</v>
      </c>
      <c r="AE11" s="21"/>
      <c r="AF11" s="21"/>
    </row>
    <row r="12" ht="15.75" customHeight="1">
      <c r="A12" s="26" t="s">
        <v>59</v>
      </c>
      <c r="B12" s="14">
        <f t="shared" si="1"/>
        <v>0.3846153846</v>
      </c>
      <c r="C12" s="14">
        <f t="shared" si="2"/>
        <v>0.2307692308</v>
      </c>
      <c r="D12" s="14"/>
      <c r="E12" s="21" t="b">
        <v>0</v>
      </c>
      <c r="F12" s="21" t="b">
        <v>0</v>
      </c>
      <c r="G12" s="21" t="b">
        <v>0</v>
      </c>
      <c r="H12" s="21" t="b">
        <v>0</v>
      </c>
      <c r="I12" s="21" t="b">
        <v>0</v>
      </c>
      <c r="J12" s="21" t="b">
        <v>0</v>
      </c>
      <c r="K12" s="21" t="b">
        <v>0</v>
      </c>
      <c r="L12" s="21" t="b">
        <v>0</v>
      </c>
      <c r="M12" s="21" t="b">
        <v>1</v>
      </c>
      <c r="N12" s="21" t="b">
        <v>1</v>
      </c>
      <c r="O12" s="21" t="b">
        <v>1</v>
      </c>
      <c r="P12" s="21" t="b">
        <v>1</v>
      </c>
      <c r="Q12" s="21" t="b">
        <v>1</v>
      </c>
      <c r="R12" s="21" t="b">
        <v>0</v>
      </c>
      <c r="S12" s="21" t="b">
        <v>0</v>
      </c>
      <c r="T12" s="21" t="b">
        <v>0</v>
      </c>
      <c r="U12" s="21" t="b">
        <v>0</v>
      </c>
      <c r="V12" s="21" t="b">
        <v>0</v>
      </c>
      <c r="W12" s="21" t="b">
        <v>0</v>
      </c>
      <c r="X12" s="21" t="b">
        <v>0</v>
      </c>
      <c r="Y12" s="21" t="b">
        <v>0</v>
      </c>
      <c r="Z12" s="21" t="b">
        <v>1</v>
      </c>
      <c r="AA12" s="21" t="b">
        <v>0</v>
      </c>
      <c r="AB12" s="21" t="b">
        <v>0</v>
      </c>
      <c r="AC12" s="21" t="b">
        <v>0</v>
      </c>
      <c r="AD12" s="21" t="b">
        <v>0</v>
      </c>
      <c r="AE12" s="21"/>
      <c r="AF12" s="21"/>
    </row>
    <row r="13" ht="15.75" customHeight="1">
      <c r="A13" s="26" t="s">
        <v>60</v>
      </c>
      <c r="B13" s="14">
        <f t="shared" si="1"/>
        <v>0.4615384615</v>
      </c>
      <c r="C13" s="14">
        <f t="shared" si="2"/>
        <v>0.2692307692</v>
      </c>
      <c r="D13" s="14"/>
      <c r="E13" s="21" t="b">
        <v>1</v>
      </c>
      <c r="F13" s="21" t="b">
        <v>0</v>
      </c>
      <c r="G13" s="21" t="b">
        <v>0</v>
      </c>
      <c r="H13" s="21" t="b">
        <v>0</v>
      </c>
      <c r="I13" s="21" t="b">
        <v>0</v>
      </c>
      <c r="J13" s="21" t="b">
        <v>0</v>
      </c>
      <c r="K13" s="21" t="b">
        <v>0</v>
      </c>
      <c r="L13" s="21" t="b">
        <v>0</v>
      </c>
      <c r="M13" s="21" t="b">
        <v>1</v>
      </c>
      <c r="N13" s="21" t="b">
        <v>1</v>
      </c>
      <c r="O13" s="21" t="b">
        <v>1</v>
      </c>
      <c r="P13" s="21" t="b">
        <v>1</v>
      </c>
      <c r="Q13" s="21" t="b">
        <v>1</v>
      </c>
      <c r="R13" s="21" t="b">
        <v>0</v>
      </c>
      <c r="S13" s="21" t="b">
        <v>0</v>
      </c>
      <c r="T13" s="21" t="b">
        <v>0</v>
      </c>
      <c r="U13" s="21" t="b">
        <v>0</v>
      </c>
      <c r="V13" s="21" t="b">
        <v>1</v>
      </c>
      <c r="W13" s="21" t="b">
        <v>0</v>
      </c>
      <c r="X13" s="21" t="b">
        <v>0</v>
      </c>
      <c r="Y13" s="21" t="b">
        <v>0</v>
      </c>
      <c r="Z13" s="21" t="b">
        <v>0</v>
      </c>
      <c r="AA13" s="21" t="b">
        <v>0</v>
      </c>
      <c r="AB13" s="21" t="b">
        <v>0</v>
      </c>
      <c r="AC13" s="21" t="b">
        <v>0</v>
      </c>
      <c r="AD13" s="21" t="b">
        <v>0</v>
      </c>
      <c r="AE13" s="21"/>
      <c r="AF13" s="21"/>
    </row>
    <row r="14" ht="15.75" customHeight="1">
      <c r="A14" s="26" t="s">
        <v>61</v>
      </c>
      <c r="B14" s="14">
        <f t="shared" si="1"/>
        <v>0.6153846154</v>
      </c>
      <c r="C14" s="14">
        <f t="shared" si="2"/>
        <v>0.3846153846</v>
      </c>
      <c r="D14" s="14"/>
      <c r="E14" s="21" t="b">
        <v>0</v>
      </c>
      <c r="F14" s="21" t="b">
        <v>1</v>
      </c>
      <c r="G14" s="21" t="b">
        <v>0</v>
      </c>
      <c r="H14" s="21" t="b">
        <v>1</v>
      </c>
      <c r="I14" s="21" t="b">
        <v>1</v>
      </c>
      <c r="J14" s="21" t="b">
        <v>0</v>
      </c>
      <c r="K14" s="21" t="b">
        <v>0</v>
      </c>
      <c r="L14" s="21" t="b">
        <v>0</v>
      </c>
      <c r="M14" s="21" t="b">
        <v>1</v>
      </c>
      <c r="N14" s="21" t="b">
        <v>1</v>
      </c>
      <c r="O14" s="21" t="b">
        <v>1</v>
      </c>
      <c r="P14" s="21" t="b">
        <v>1</v>
      </c>
      <c r="Q14" s="21" t="b">
        <v>1</v>
      </c>
      <c r="R14" s="21" t="b">
        <v>1</v>
      </c>
      <c r="S14" s="21" t="b">
        <v>0</v>
      </c>
      <c r="T14" s="21" t="b">
        <v>0</v>
      </c>
      <c r="U14" s="21" t="b">
        <v>1</v>
      </c>
      <c r="V14" s="21" t="b">
        <v>0</v>
      </c>
      <c r="W14" s="21" t="b">
        <v>0</v>
      </c>
      <c r="X14" s="21" t="b">
        <v>0</v>
      </c>
      <c r="Y14" s="21" t="b">
        <v>0</v>
      </c>
      <c r="Z14" s="21" t="b">
        <v>0</v>
      </c>
      <c r="AA14" s="21" t="b">
        <v>0</v>
      </c>
      <c r="AB14" s="21" t="b">
        <v>0</v>
      </c>
      <c r="AC14" s="21" t="b">
        <v>0</v>
      </c>
      <c r="AD14" s="21" t="b">
        <v>0</v>
      </c>
      <c r="AE14" s="21"/>
      <c r="AF14" s="21"/>
    </row>
    <row r="15" ht="15.75" customHeight="1">
      <c r="A15" s="26" t="s">
        <v>62</v>
      </c>
      <c r="B15" s="14">
        <f t="shared" si="1"/>
        <v>0.3076923077</v>
      </c>
      <c r="C15" s="14">
        <f t="shared" si="2"/>
        <v>0.1923076923</v>
      </c>
      <c r="D15" s="14"/>
      <c r="E15" s="21" t="b">
        <v>0</v>
      </c>
      <c r="F15" s="21" t="b">
        <v>0</v>
      </c>
      <c r="G15" s="21" t="b">
        <v>0</v>
      </c>
      <c r="H15" s="21" t="b">
        <v>0</v>
      </c>
      <c r="I15" s="21" t="b">
        <v>0</v>
      </c>
      <c r="J15" s="21" t="b">
        <v>0</v>
      </c>
      <c r="K15" s="21" t="b">
        <v>0</v>
      </c>
      <c r="L15" s="21" t="b">
        <v>0</v>
      </c>
      <c r="M15" s="21" t="b">
        <v>1</v>
      </c>
      <c r="N15" s="21" t="b">
        <v>1</v>
      </c>
      <c r="O15" s="21" t="b">
        <v>0</v>
      </c>
      <c r="P15" s="21" t="b">
        <v>1</v>
      </c>
      <c r="Q15" s="21" t="b">
        <v>1</v>
      </c>
      <c r="R15" s="21" t="b">
        <v>0</v>
      </c>
      <c r="S15" s="21" t="b">
        <v>0</v>
      </c>
      <c r="T15" s="21" t="b">
        <v>0</v>
      </c>
      <c r="U15" s="21" t="b">
        <v>0</v>
      </c>
      <c r="V15" s="21" t="b">
        <v>1</v>
      </c>
      <c r="W15" s="21" t="b">
        <v>0</v>
      </c>
      <c r="X15" s="21" t="b">
        <v>0</v>
      </c>
      <c r="Y15" s="21" t="b">
        <v>0</v>
      </c>
      <c r="Z15" s="21" t="b">
        <v>0</v>
      </c>
      <c r="AA15" s="21" t="b">
        <v>0</v>
      </c>
      <c r="AB15" s="21" t="b">
        <v>0</v>
      </c>
      <c r="AC15" s="21" t="b">
        <v>0</v>
      </c>
      <c r="AD15" s="21" t="b">
        <v>0</v>
      </c>
      <c r="AE15" s="21"/>
      <c r="AF15" s="21"/>
    </row>
    <row r="16" ht="15.75" customHeight="1">
      <c r="A16" s="26" t="s">
        <v>63</v>
      </c>
      <c r="B16" s="14">
        <f t="shared" si="1"/>
        <v>0.5384615385</v>
      </c>
      <c r="C16" s="14">
        <f t="shared" si="2"/>
        <v>0.3076923077</v>
      </c>
      <c r="D16" s="14"/>
      <c r="E16" s="21" t="b">
        <v>0</v>
      </c>
      <c r="F16" s="21" t="b">
        <v>1</v>
      </c>
      <c r="G16" s="21" t="b">
        <v>0</v>
      </c>
      <c r="H16" s="21" t="b">
        <v>0</v>
      </c>
      <c r="I16" s="21" t="b">
        <v>0</v>
      </c>
      <c r="J16" s="21" t="b">
        <v>0</v>
      </c>
      <c r="K16" s="21" t="b">
        <v>0</v>
      </c>
      <c r="L16" s="21" t="b">
        <v>1</v>
      </c>
      <c r="M16" s="21" t="b">
        <v>1</v>
      </c>
      <c r="N16" s="21" t="b">
        <v>1</v>
      </c>
      <c r="O16" s="21" t="b">
        <v>1</v>
      </c>
      <c r="P16" s="21" t="b">
        <v>1</v>
      </c>
      <c r="Q16" s="21" t="b">
        <v>1</v>
      </c>
      <c r="R16" s="21" t="b">
        <v>0</v>
      </c>
      <c r="S16" s="21" t="b">
        <v>0</v>
      </c>
      <c r="T16" s="21" t="b">
        <v>0</v>
      </c>
      <c r="U16" s="21" t="b">
        <v>1</v>
      </c>
      <c r="V16" s="21" t="b">
        <v>0</v>
      </c>
      <c r="W16" s="21" t="b">
        <v>0</v>
      </c>
      <c r="X16" s="21" t="b">
        <v>0</v>
      </c>
      <c r="Y16" s="21" t="b">
        <v>0</v>
      </c>
      <c r="Z16" s="21" t="b">
        <v>0</v>
      </c>
      <c r="AA16" s="21" t="b">
        <v>0</v>
      </c>
      <c r="AB16" s="21" t="b">
        <v>0</v>
      </c>
      <c r="AC16" s="21" t="b">
        <v>0</v>
      </c>
      <c r="AD16" s="21" t="b">
        <v>0</v>
      </c>
      <c r="AE16" s="21"/>
      <c r="AF16" s="21"/>
    </row>
    <row r="17" ht="15.75" customHeight="1">
      <c r="A17" s="10" t="s">
        <v>64</v>
      </c>
      <c r="B17" s="10">
        <v>13.0</v>
      </c>
      <c r="C17" s="10">
        <v>26.0</v>
      </c>
      <c r="E17" s="10">
        <f t="shared" ref="E17:AD17" si="3">COUNTIF(E2:E16, TRUE)</f>
        <v>3</v>
      </c>
      <c r="F17" s="10">
        <f t="shared" si="3"/>
        <v>7</v>
      </c>
      <c r="G17" s="10">
        <f t="shared" si="3"/>
        <v>1</v>
      </c>
      <c r="H17" s="10">
        <f t="shared" si="3"/>
        <v>4</v>
      </c>
      <c r="I17" s="10">
        <f t="shared" si="3"/>
        <v>1</v>
      </c>
      <c r="J17" s="10">
        <f t="shared" si="3"/>
        <v>1</v>
      </c>
      <c r="K17" s="10">
        <f t="shared" si="3"/>
        <v>0</v>
      </c>
      <c r="L17" s="10">
        <f t="shared" si="3"/>
        <v>2</v>
      </c>
      <c r="M17" s="10">
        <f t="shared" si="3"/>
        <v>15</v>
      </c>
      <c r="N17" s="10">
        <f t="shared" si="3"/>
        <v>14</v>
      </c>
      <c r="O17" s="10">
        <f t="shared" si="3"/>
        <v>9</v>
      </c>
      <c r="P17" s="10">
        <f t="shared" si="3"/>
        <v>15</v>
      </c>
      <c r="Q17" s="10">
        <f t="shared" si="3"/>
        <v>15</v>
      </c>
      <c r="R17" s="10">
        <f t="shared" si="3"/>
        <v>4</v>
      </c>
      <c r="S17" s="10">
        <f t="shared" si="3"/>
        <v>0</v>
      </c>
      <c r="T17" s="10">
        <f t="shared" si="3"/>
        <v>0</v>
      </c>
      <c r="U17" s="10">
        <f t="shared" si="3"/>
        <v>2</v>
      </c>
      <c r="V17" s="10">
        <f t="shared" si="3"/>
        <v>5</v>
      </c>
      <c r="W17" s="10">
        <f t="shared" si="3"/>
        <v>0</v>
      </c>
      <c r="X17" s="10">
        <f t="shared" si="3"/>
        <v>0</v>
      </c>
      <c r="Y17" s="10">
        <f t="shared" si="3"/>
        <v>0</v>
      </c>
      <c r="Z17" s="10">
        <f t="shared" si="3"/>
        <v>2</v>
      </c>
      <c r="AA17" s="10">
        <f t="shared" si="3"/>
        <v>1</v>
      </c>
      <c r="AB17" s="10">
        <f t="shared" si="3"/>
        <v>3</v>
      </c>
      <c r="AC17" s="10">
        <f t="shared" si="3"/>
        <v>0</v>
      </c>
      <c r="AD17" s="10">
        <f t="shared" si="3"/>
        <v>0</v>
      </c>
    </row>
    <row r="18" ht="15.75" customHeight="1"/>
    <row r="19" ht="15.75" customHeight="1"/>
    <row r="20" ht="15.75" customHeight="1">
      <c r="E20" s="33" t="s">
        <v>65</v>
      </c>
    </row>
    <row r="21" ht="15.75" customHeight="1">
      <c r="E21" s="34" t="s">
        <v>66</v>
      </c>
    </row>
    <row r="22" ht="15.75" customHeight="1">
      <c r="A22" s="10"/>
      <c r="E22" s="36" t="s">
        <v>28</v>
      </c>
    </row>
    <row r="23" ht="15.75" customHeight="1">
      <c r="E23" s="37" t="s">
        <v>68</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E2:AF16">
    <cfRule type="cellIs" dxfId="0" priority="1" operator="equal">
      <formula>"TRUE"</formula>
    </cfRule>
  </conditionalFormatting>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xSplit="1.0" topLeftCell="B1" activePane="topRight" state="frozen"/>
      <selection activeCell="C2" sqref="C2" pane="topRight"/>
    </sheetView>
  </sheetViews>
  <sheetFormatPr customHeight="1" defaultColWidth="12.63" defaultRowHeight="15.0"/>
  <cols>
    <col customWidth="1" min="1" max="1" width="12.63"/>
    <col customWidth="1" min="2" max="2" width="7.75"/>
    <col customWidth="1" min="3" max="4" width="7.38"/>
    <col customWidth="1" min="5" max="6" width="12.63"/>
  </cols>
  <sheetData>
    <row r="1" ht="15.75" customHeight="1">
      <c r="B1" s="10" t="s">
        <v>29</v>
      </c>
      <c r="C1" s="10" t="s">
        <v>30</v>
      </c>
      <c r="D1" s="10" t="s">
        <v>31</v>
      </c>
      <c r="E1" s="21" t="s">
        <v>241</v>
      </c>
      <c r="F1" s="21" t="s">
        <v>242</v>
      </c>
      <c r="G1" s="21" t="s">
        <v>243</v>
      </c>
      <c r="H1" s="21" t="s">
        <v>244</v>
      </c>
      <c r="I1" s="21" t="s">
        <v>245</v>
      </c>
      <c r="J1" s="21" t="s">
        <v>246</v>
      </c>
      <c r="K1" s="21" t="s">
        <v>247</v>
      </c>
      <c r="L1" s="21" t="s">
        <v>248</v>
      </c>
      <c r="M1" s="21" t="s">
        <v>249</v>
      </c>
      <c r="N1" s="21" t="s">
        <v>250</v>
      </c>
      <c r="O1" s="21" t="s">
        <v>251</v>
      </c>
      <c r="P1" s="21" t="s">
        <v>252</v>
      </c>
      <c r="Q1" s="21" t="s">
        <v>253</v>
      </c>
      <c r="R1" s="21" t="s">
        <v>254</v>
      </c>
      <c r="S1" s="23" t="s">
        <v>93</v>
      </c>
      <c r="T1" s="23" t="s">
        <v>93</v>
      </c>
      <c r="U1" s="23" t="s">
        <v>255</v>
      </c>
      <c r="V1" s="23" t="s">
        <v>255</v>
      </c>
      <c r="W1" s="24" t="s">
        <v>256</v>
      </c>
      <c r="X1" s="24" t="s">
        <v>257</v>
      </c>
      <c r="Y1" s="24" t="s">
        <v>258</v>
      </c>
      <c r="Z1" s="25" t="s">
        <v>125</v>
      </c>
      <c r="AA1" s="25" t="s">
        <v>125</v>
      </c>
      <c r="AB1" s="25" t="s">
        <v>125</v>
      </c>
      <c r="AC1" s="25" t="s">
        <v>125</v>
      </c>
    </row>
    <row r="2" ht="15.75" customHeight="1">
      <c r="A2" s="26" t="s">
        <v>49</v>
      </c>
      <c r="B2" s="14">
        <f t="shared" ref="B2:B16" si="1">COUNTIF(E2:V2, TRUE) / COUNTA(E2:V2)</f>
        <v>0.5</v>
      </c>
      <c r="C2" s="14">
        <f t="shared" ref="C2:C16" si="2">COUNTIF(E2:AC2, TRUE) / COUNTA(E2:AC2)</f>
        <v>0.4</v>
      </c>
      <c r="D2" s="14"/>
      <c r="E2" s="21" t="b">
        <v>0</v>
      </c>
      <c r="F2" s="21" t="b">
        <v>1</v>
      </c>
      <c r="G2" s="21" t="b">
        <v>1</v>
      </c>
      <c r="H2" s="21" t="b">
        <v>0</v>
      </c>
      <c r="I2" s="21" t="b">
        <v>0</v>
      </c>
      <c r="J2" s="21" t="b">
        <v>1</v>
      </c>
      <c r="K2" s="21" t="b">
        <v>0</v>
      </c>
      <c r="L2" s="21" t="b">
        <v>0</v>
      </c>
      <c r="M2" s="21" t="b">
        <v>0</v>
      </c>
      <c r="N2" s="21" t="b">
        <v>0</v>
      </c>
      <c r="O2" s="21" t="b">
        <v>1</v>
      </c>
      <c r="P2" s="21" t="b">
        <v>0</v>
      </c>
      <c r="Q2" s="21" t="b">
        <v>0</v>
      </c>
      <c r="R2" s="21" t="b">
        <v>1</v>
      </c>
      <c r="S2" s="21" t="b">
        <v>1</v>
      </c>
      <c r="T2" s="21" t="b">
        <v>1</v>
      </c>
      <c r="U2" s="21" t="b">
        <v>1</v>
      </c>
      <c r="V2" s="21" t="b">
        <v>1</v>
      </c>
      <c r="W2" s="21" t="b">
        <v>1</v>
      </c>
      <c r="X2" s="21" t="b">
        <v>0</v>
      </c>
      <c r="Y2" s="21" t="b">
        <v>0</v>
      </c>
      <c r="Z2" s="21" t="b">
        <v>0</v>
      </c>
      <c r="AA2" s="21" t="b">
        <v>0</v>
      </c>
      <c r="AB2" s="21" t="b">
        <v>0</v>
      </c>
      <c r="AC2" s="21" t="b">
        <v>0</v>
      </c>
    </row>
    <row r="3" ht="15.75" customHeight="1">
      <c r="A3" s="26" t="s">
        <v>50</v>
      </c>
      <c r="B3" s="14">
        <f t="shared" si="1"/>
        <v>0.4444444444</v>
      </c>
      <c r="C3" s="14">
        <f t="shared" si="2"/>
        <v>0.36</v>
      </c>
      <c r="E3" s="21" t="b">
        <v>0</v>
      </c>
      <c r="F3" s="21" t="b">
        <v>1</v>
      </c>
      <c r="G3" s="21" t="b">
        <v>0</v>
      </c>
      <c r="H3" s="21" t="b">
        <v>0</v>
      </c>
      <c r="I3" s="21" t="b">
        <v>0</v>
      </c>
      <c r="J3" s="21" t="b">
        <v>0</v>
      </c>
      <c r="K3" s="21" t="b">
        <v>0</v>
      </c>
      <c r="L3" s="21" t="b">
        <v>0</v>
      </c>
      <c r="M3" s="21" t="b">
        <v>0</v>
      </c>
      <c r="N3" s="21" t="b">
        <v>0</v>
      </c>
      <c r="O3" s="21" t="b">
        <v>1</v>
      </c>
      <c r="P3" s="21" t="b">
        <v>1</v>
      </c>
      <c r="Q3" s="21" t="b">
        <v>0</v>
      </c>
      <c r="R3" s="21" t="b">
        <v>1</v>
      </c>
      <c r="S3" s="21" t="b">
        <v>1</v>
      </c>
      <c r="T3" s="21" t="b">
        <v>1</v>
      </c>
      <c r="U3" s="21" t="b">
        <v>1</v>
      </c>
      <c r="V3" s="21" t="b">
        <v>1</v>
      </c>
      <c r="W3" s="21" t="b">
        <v>1</v>
      </c>
      <c r="X3" s="21" t="b">
        <v>0</v>
      </c>
      <c r="Y3" s="21" t="b">
        <v>0</v>
      </c>
      <c r="Z3" s="21" t="b">
        <v>0</v>
      </c>
      <c r="AA3" s="21" t="b">
        <v>0</v>
      </c>
      <c r="AB3" s="21" t="b">
        <v>0</v>
      </c>
      <c r="AC3" s="21" t="b">
        <v>0</v>
      </c>
    </row>
    <row r="4" ht="15.75" customHeight="1">
      <c r="A4" s="26" t="s">
        <v>51</v>
      </c>
      <c r="B4" s="14">
        <f t="shared" si="1"/>
        <v>0.3888888889</v>
      </c>
      <c r="C4" s="14">
        <f t="shared" si="2"/>
        <v>0.36</v>
      </c>
      <c r="D4" s="14"/>
      <c r="E4" s="21" t="b">
        <v>0</v>
      </c>
      <c r="F4" s="21" t="b">
        <v>1</v>
      </c>
      <c r="G4" s="21" t="b">
        <v>0</v>
      </c>
      <c r="H4" s="21" t="b">
        <v>0</v>
      </c>
      <c r="I4" s="21" t="b">
        <v>0</v>
      </c>
      <c r="J4" s="21" t="b">
        <v>0</v>
      </c>
      <c r="K4" s="21" t="b">
        <v>0</v>
      </c>
      <c r="L4" s="21" t="b">
        <v>0</v>
      </c>
      <c r="M4" s="21" t="b">
        <v>0</v>
      </c>
      <c r="N4" s="21" t="b">
        <v>0</v>
      </c>
      <c r="O4" s="21" t="b">
        <v>1</v>
      </c>
      <c r="P4" s="21" t="b">
        <v>0</v>
      </c>
      <c r="Q4" s="21" t="b">
        <v>0</v>
      </c>
      <c r="R4" s="21" t="b">
        <v>1</v>
      </c>
      <c r="S4" s="21" t="b">
        <v>1</v>
      </c>
      <c r="T4" s="21" t="b">
        <v>1</v>
      </c>
      <c r="U4" s="21" t="b">
        <v>1</v>
      </c>
      <c r="V4" s="21" t="b">
        <v>1</v>
      </c>
      <c r="W4" s="21" t="b">
        <v>1</v>
      </c>
      <c r="X4" s="21" t="b">
        <v>0</v>
      </c>
      <c r="Y4" s="21" t="b">
        <v>0</v>
      </c>
      <c r="Z4" s="21" t="b">
        <v>1</v>
      </c>
      <c r="AA4" s="21" t="b">
        <v>0</v>
      </c>
      <c r="AB4" s="21" t="b">
        <v>0</v>
      </c>
      <c r="AC4" s="21" t="b">
        <v>0</v>
      </c>
    </row>
    <row r="5" ht="15.75" customHeight="1">
      <c r="A5" s="26" t="s">
        <v>52</v>
      </c>
      <c r="B5" s="14">
        <f t="shared" si="1"/>
        <v>0.3888888889</v>
      </c>
      <c r="C5" s="14">
        <f t="shared" si="2"/>
        <v>0.32</v>
      </c>
      <c r="D5" s="14"/>
      <c r="E5" s="21" t="b">
        <v>0</v>
      </c>
      <c r="F5" s="21" t="b">
        <v>0</v>
      </c>
      <c r="G5" s="21" t="b">
        <v>0</v>
      </c>
      <c r="H5" s="21" t="b">
        <v>0</v>
      </c>
      <c r="I5" s="21" t="b">
        <v>0</v>
      </c>
      <c r="J5" s="21" t="b">
        <v>0</v>
      </c>
      <c r="K5" s="21" t="b">
        <v>0</v>
      </c>
      <c r="L5" s="21" t="b">
        <v>0</v>
      </c>
      <c r="M5" s="21" t="b">
        <v>0</v>
      </c>
      <c r="N5" s="21" t="b">
        <v>0</v>
      </c>
      <c r="O5" s="21" t="b">
        <v>1</v>
      </c>
      <c r="P5" s="21" t="b">
        <v>1</v>
      </c>
      <c r="Q5" s="21" t="b">
        <v>0</v>
      </c>
      <c r="R5" s="21" t="b">
        <v>1</v>
      </c>
      <c r="S5" s="21" t="b">
        <v>1</v>
      </c>
      <c r="T5" s="21" t="b">
        <v>1</v>
      </c>
      <c r="U5" s="21" t="b">
        <v>1</v>
      </c>
      <c r="V5" s="21" t="b">
        <v>1</v>
      </c>
      <c r="W5" s="21" t="b">
        <v>1</v>
      </c>
      <c r="X5" s="21" t="b">
        <v>0</v>
      </c>
      <c r="Y5" s="21" t="b">
        <v>0</v>
      </c>
      <c r="Z5" s="21" t="b">
        <v>0</v>
      </c>
      <c r="AA5" s="21" t="b">
        <v>0</v>
      </c>
      <c r="AB5" s="21" t="b">
        <v>0</v>
      </c>
      <c r="AC5" s="21" t="b">
        <v>0</v>
      </c>
    </row>
    <row r="6" ht="15.75" customHeight="1">
      <c r="A6" s="26" t="s">
        <v>53</v>
      </c>
      <c r="B6" s="14">
        <f t="shared" si="1"/>
        <v>0.3333333333</v>
      </c>
      <c r="C6" s="14">
        <f t="shared" si="2"/>
        <v>0.28</v>
      </c>
      <c r="D6" s="14"/>
      <c r="E6" s="21" t="b">
        <v>0</v>
      </c>
      <c r="F6" s="21" t="b">
        <v>0</v>
      </c>
      <c r="G6" s="21" t="b">
        <v>0</v>
      </c>
      <c r="H6" s="21" t="b">
        <v>0</v>
      </c>
      <c r="I6" s="21" t="b">
        <v>0</v>
      </c>
      <c r="J6" s="21" t="b">
        <v>0</v>
      </c>
      <c r="K6" s="21" t="b">
        <v>0</v>
      </c>
      <c r="L6" s="21" t="b">
        <v>0</v>
      </c>
      <c r="M6" s="21" t="b">
        <v>0</v>
      </c>
      <c r="N6" s="21" t="b">
        <v>0</v>
      </c>
      <c r="O6" s="21" t="b">
        <v>1</v>
      </c>
      <c r="P6" s="21" t="b">
        <v>0</v>
      </c>
      <c r="Q6" s="21" t="b">
        <v>0</v>
      </c>
      <c r="R6" s="21" t="b">
        <v>1</v>
      </c>
      <c r="S6" s="21" t="b">
        <v>1</v>
      </c>
      <c r="T6" s="21" t="b">
        <v>1</v>
      </c>
      <c r="U6" s="21" t="b">
        <v>1</v>
      </c>
      <c r="V6" s="21" t="b">
        <v>1</v>
      </c>
      <c r="W6" s="21" t="b">
        <v>1</v>
      </c>
      <c r="X6" s="21" t="b">
        <v>0</v>
      </c>
      <c r="Y6" s="21" t="b">
        <v>0</v>
      </c>
      <c r="Z6" s="21" t="b">
        <v>0</v>
      </c>
      <c r="AA6" s="21" t="b">
        <v>0</v>
      </c>
      <c r="AB6" s="21" t="b">
        <v>0</v>
      </c>
      <c r="AC6" s="21" t="b">
        <v>0</v>
      </c>
    </row>
    <row r="7" ht="15.75" customHeight="1">
      <c r="A7" s="26" t="s">
        <v>54</v>
      </c>
      <c r="B7" s="14">
        <f t="shared" si="1"/>
        <v>0.6111111111</v>
      </c>
      <c r="C7" s="14">
        <f t="shared" si="2"/>
        <v>0.48</v>
      </c>
      <c r="D7" s="14"/>
      <c r="E7" s="21" t="b">
        <v>0</v>
      </c>
      <c r="F7" s="21" t="b">
        <v>1</v>
      </c>
      <c r="G7" s="21" t="b">
        <v>1</v>
      </c>
      <c r="H7" s="21" t="b">
        <v>0</v>
      </c>
      <c r="I7" s="21" t="b">
        <v>1</v>
      </c>
      <c r="J7" s="21" t="b">
        <v>1</v>
      </c>
      <c r="K7" s="21" t="b">
        <v>0</v>
      </c>
      <c r="L7" s="21" t="b">
        <v>0</v>
      </c>
      <c r="M7" s="21" t="b">
        <v>0</v>
      </c>
      <c r="N7" s="21" t="b">
        <v>1</v>
      </c>
      <c r="O7" s="21" t="b">
        <v>1</v>
      </c>
      <c r="P7" s="21" t="b">
        <v>0</v>
      </c>
      <c r="Q7" s="21" t="b">
        <v>0</v>
      </c>
      <c r="R7" s="21" t="b">
        <v>1</v>
      </c>
      <c r="S7" s="21" t="b">
        <v>1</v>
      </c>
      <c r="T7" s="21" t="b">
        <v>1</v>
      </c>
      <c r="U7" s="21" t="b">
        <v>1</v>
      </c>
      <c r="V7" s="21" t="b">
        <v>1</v>
      </c>
      <c r="W7" s="21" t="b">
        <v>1</v>
      </c>
      <c r="X7" s="21" t="b">
        <v>0</v>
      </c>
      <c r="Y7" s="21" t="b">
        <v>0</v>
      </c>
      <c r="Z7" s="21" t="b">
        <v>0</v>
      </c>
      <c r="AA7" s="21" t="b">
        <v>0</v>
      </c>
      <c r="AB7" s="21" t="b">
        <v>0</v>
      </c>
      <c r="AC7" s="21" t="b">
        <v>0</v>
      </c>
    </row>
    <row r="8" ht="15.75" customHeight="1">
      <c r="A8" s="26" t="s">
        <v>55</v>
      </c>
      <c r="B8" s="14">
        <f t="shared" si="1"/>
        <v>0.6111111111</v>
      </c>
      <c r="C8" s="14">
        <f t="shared" si="2"/>
        <v>0.48</v>
      </c>
      <c r="D8" s="14"/>
      <c r="E8" s="21" t="b">
        <v>1</v>
      </c>
      <c r="F8" s="21" t="b">
        <v>1</v>
      </c>
      <c r="G8" s="21" t="b">
        <v>0</v>
      </c>
      <c r="H8" s="21" t="b">
        <v>0</v>
      </c>
      <c r="I8" s="21" t="b">
        <v>1</v>
      </c>
      <c r="J8" s="21" t="b">
        <v>1</v>
      </c>
      <c r="K8" s="21" t="b">
        <v>0</v>
      </c>
      <c r="L8" s="21" t="b">
        <v>0</v>
      </c>
      <c r="M8" s="21" t="b">
        <v>0</v>
      </c>
      <c r="N8" s="21" t="b">
        <v>0</v>
      </c>
      <c r="O8" s="21" t="b">
        <v>1</v>
      </c>
      <c r="P8" s="21" t="b">
        <v>1</v>
      </c>
      <c r="Q8" s="21" t="b">
        <v>0</v>
      </c>
      <c r="R8" s="21" t="b">
        <v>1</v>
      </c>
      <c r="S8" s="21" t="b">
        <v>1</v>
      </c>
      <c r="T8" s="21" t="b">
        <v>1</v>
      </c>
      <c r="U8" s="21" t="b">
        <v>1</v>
      </c>
      <c r="V8" s="21" t="b">
        <v>1</v>
      </c>
      <c r="W8" s="21" t="b">
        <v>1</v>
      </c>
      <c r="X8" s="21" t="b">
        <v>0</v>
      </c>
      <c r="Y8" s="21" t="b">
        <v>0</v>
      </c>
      <c r="Z8" s="21" t="b">
        <v>0</v>
      </c>
      <c r="AA8" s="21" t="b">
        <v>0</v>
      </c>
      <c r="AB8" s="21" t="b">
        <v>0</v>
      </c>
      <c r="AC8" s="21" t="b">
        <v>0</v>
      </c>
    </row>
    <row r="9" ht="15.75" customHeight="1">
      <c r="A9" s="26" t="s">
        <v>56</v>
      </c>
      <c r="B9" s="14">
        <f t="shared" si="1"/>
        <v>0.6111111111</v>
      </c>
      <c r="C9" s="14">
        <f t="shared" si="2"/>
        <v>0.48</v>
      </c>
      <c r="D9" s="14"/>
      <c r="E9" s="21" t="b">
        <v>0</v>
      </c>
      <c r="F9" s="21" t="b">
        <v>1</v>
      </c>
      <c r="G9" s="21" t="b">
        <v>1</v>
      </c>
      <c r="H9" s="21" t="b">
        <v>0</v>
      </c>
      <c r="I9" s="21" t="b">
        <v>0</v>
      </c>
      <c r="J9" s="21" t="b">
        <v>1</v>
      </c>
      <c r="K9" s="21" t="b">
        <v>0</v>
      </c>
      <c r="L9" s="21" t="b">
        <v>1</v>
      </c>
      <c r="M9" s="21" t="b">
        <v>1</v>
      </c>
      <c r="N9" s="21" t="b">
        <v>0</v>
      </c>
      <c r="O9" s="21" t="b">
        <v>1</v>
      </c>
      <c r="P9" s="21" t="b">
        <v>0</v>
      </c>
      <c r="Q9" s="21" t="b">
        <v>0</v>
      </c>
      <c r="R9" s="21" t="b">
        <v>1</v>
      </c>
      <c r="S9" s="21" t="b">
        <v>1</v>
      </c>
      <c r="T9" s="21" t="b">
        <v>1</v>
      </c>
      <c r="U9" s="21" t="b">
        <v>1</v>
      </c>
      <c r="V9" s="21" t="b">
        <v>1</v>
      </c>
      <c r="W9" s="21" t="b">
        <v>1</v>
      </c>
      <c r="X9" s="21" t="b">
        <v>0</v>
      </c>
      <c r="Y9" s="21" t="b">
        <v>0</v>
      </c>
      <c r="Z9" s="21" t="b">
        <v>0</v>
      </c>
      <c r="AA9" s="21" t="b">
        <v>0</v>
      </c>
      <c r="AB9" s="21" t="b">
        <v>0</v>
      </c>
      <c r="AC9" s="21" t="b">
        <v>0</v>
      </c>
    </row>
    <row r="10" ht="15.75" customHeight="1">
      <c r="A10" s="26" t="s">
        <v>57</v>
      </c>
      <c r="B10" s="14">
        <f t="shared" si="1"/>
        <v>0.5</v>
      </c>
      <c r="C10" s="14">
        <f t="shared" si="2"/>
        <v>0.44</v>
      </c>
      <c r="D10" s="14"/>
      <c r="E10" s="21" t="b">
        <v>0</v>
      </c>
      <c r="F10" s="21" t="b">
        <v>1</v>
      </c>
      <c r="G10" s="21" t="b">
        <v>0</v>
      </c>
      <c r="H10" s="21" t="b">
        <v>0</v>
      </c>
      <c r="I10" s="21" t="b">
        <v>0</v>
      </c>
      <c r="J10" s="21" t="b">
        <v>1</v>
      </c>
      <c r="K10" s="21" t="b">
        <v>0</v>
      </c>
      <c r="L10" s="21" t="b">
        <v>1</v>
      </c>
      <c r="M10" s="21" t="b">
        <v>0</v>
      </c>
      <c r="N10" s="21" t="b">
        <v>0</v>
      </c>
      <c r="O10" s="21" t="b">
        <v>1</v>
      </c>
      <c r="P10" s="21" t="b">
        <v>0</v>
      </c>
      <c r="Q10" s="21" t="b">
        <v>0</v>
      </c>
      <c r="R10" s="21" t="b">
        <v>1</v>
      </c>
      <c r="S10" s="21" t="b">
        <v>1</v>
      </c>
      <c r="T10" s="21" t="b">
        <v>1</v>
      </c>
      <c r="U10" s="21" t="b">
        <v>1</v>
      </c>
      <c r="V10" s="21" t="b">
        <v>1</v>
      </c>
      <c r="W10" s="21" t="b">
        <v>1</v>
      </c>
      <c r="X10" s="21" t="b">
        <v>0</v>
      </c>
      <c r="Y10" s="21" t="b">
        <v>1</v>
      </c>
      <c r="Z10" s="21" t="b">
        <v>0</v>
      </c>
      <c r="AA10" s="21" t="b">
        <v>0</v>
      </c>
      <c r="AB10" s="21" t="b">
        <v>0</v>
      </c>
      <c r="AC10" s="21" t="b">
        <v>0</v>
      </c>
    </row>
    <row r="11" ht="15.75" customHeight="1">
      <c r="A11" s="26" t="s">
        <v>58</v>
      </c>
      <c r="B11" s="14">
        <f t="shared" si="1"/>
        <v>0.3888888889</v>
      </c>
      <c r="C11" s="14">
        <f t="shared" si="2"/>
        <v>0.32</v>
      </c>
      <c r="D11" s="14"/>
      <c r="E11" s="21" t="b">
        <v>0</v>
      </c>
      <c r="F11" s="21" t="b">
        <v>1</v>
      </c>
      <c r="G11" s="21" t="b">
        <v>0</v>
      </c>
      <c r="H11" s="21" t="b">
        <v>0</v>
      </c>
      <c r="I11" s="21" t="b">
        <v>0</v>
      </c>
      <c r="J11" s="21" t="b">
        <v>0</v>
      </c>
      <c r="K11" s="21" t="b">
        <v>0</v>
      </c>
      <c r="L11" s="21" t="b">
        <v>0</v>
      </c>
      <c r="M11" s="21" t="b">
        <v>0</v>
      </c>
      <c r="N11" s="21" t="b">
        <v>0</v>
      </c>
      <c r="O11" s="21" t="b">
        <v>0</v>
      </c>
      <c r="P11" s="21" t="b">
        <v>1</v>
      </c>
      <c r="Q11" s="21" t="b">
        <v>0</v>
      </c>
      <c r="R11" s="21" t="b">
        <v>1</v>
      </c>
      <c r="S11" s="21" t="b">
        <v>1</v>
      </c>
      <c r="T11" s="21" t="b">
        <v>1</v>
      </c>
      <c r="U11" s="21" t="b">
        <v>1</v>
      </c>
      <c r="V11" s="21" t="b">
        <v>1</v>
      </c>
      <c r="W11" s="21" t="b">
        <v>1</v>
      </c>
      <c r="X11" s="21" t="b">
        <v>0</v>
      </c>
      <c r="Y11" s="21" t="b">
        <v>0</v>
      </c>
      <c r="Z11" s="21" t="b">
        <v>0</v>
      </c>
      <c r="AA11" s="21" t="b">
        <v>0</v>
      </c>
      <c r="AB11" s="21" t="b">
        <v>0</v>
      </c>
      <c r="AC11" s="21" t="b">
        <v>0</v>
      </c>
    </row>
    <row r="12" ht="15.75" customHeight="1">
      <c r="A12" s="26" t="s">
        <v>59</v>
      </c>
      <c r="B12" s="14">
        <f t="shared" si="1"/>
        <v>0.3333333333</v>
      </c>
      <c r="C12" s="14">
        <f t="shared" si="2"/>
        <v>0.32</v>
      </c>
      <c r="D12" s="14"/>
      <c r="E12" s="21" t="b">
        <v>0</v>
      </c>
      <c r="F12" s="21" t="b">
        <v>1</v>
      </c>
      <c r="G12" s="21" t="b">
        <v>0</v>
      </c>
      <c r="H12" s="21" t="b">
        <v>0</v>
      </c>
      <c r="I12" s="21" t="b">
        <v>0</v>
      </c>
      <c r="J12" s="21" t="b">
        <v>0</v>
      </c>
      <c r="K12" s="21" t="b">
        <v>0</v>
      </c>
      <c r="L12" s="21" t="b">
        <v>0</v>
      </c>
      <c r="M12" s="21" t="b">
        <v>0</v>
      </c>
      <c r="N12" s="21" t="b">
        <v>0</v>
      </c>
      <c r="O12" s="21" t="b">
        <v>0</v>
      </c>
      <c r="P12" s="21" t="b">
        <v>0</v>
      </c>
      <c r="Q12" s="21" t="b">
        <v>0</v>
      </c>
      <c r="R12" s="21" t="b">
        <v>1</v>
      </c>
      <c r="S12" s="21" t="b">
        <v>1</v>
      </c>
      <c r="T12" s="21" t="b">
        <v>1</v>
      </c>
      <c r="U12" s="21" t="b">
        <v>1</v>
      </c>
      <c r="V12" s="21" t="b">
        <v>1</v>
      </c>
      <c r="W12" s="21" t="b">
        <v>1</v>
      </c>
      <c r="X12" s="21" t="b">
        <v>0</v>
      </c>
      <c r="Y12" s="21" t="b">
        <v>0</v>
      </c>
      <c r="Z12" s="21" t="b">
        <v>1</v>
      </c>
      <c r="AA12" s="21" t="b">
        <v>0</v>
      </c>
      <c r="AB12" s="21" t="b">
        <v>0</v>
      </c>
      <c r="AC12" s="21" t="b">
        <v>0</v>
      </c>
    </row>
    <row r="13" ht="15.75" customHeight="1">
      <c r="A13" s="26" t="s">
        <v>60</v>
      </c>
      <c r="B13" s="14">
        <f t="shared" si="1"/>
        <v>0.5</v>
      </c>
      <c r="C13" s="14">
        <f t="shared" si="2"/>
        <v>0.4</v>
      </c>
      <c r="D13" s="14"/>
      <c r="E13" s="21" t="b">
        <v>1</v>
      </c>
      <c r="F13" s="21" t="b">
        <v>0</v>
      </c>
      <c r="G13" s="21" t="b">
        <v>1</v>
      </c>
      <c r="H13" s="21" t="b">
        <v>0</v>
      </c>
      <c r="I13" s="21" t="b">
        <v>0</v>
      </c>
      <c r="J13" s="21" t="b">
        <v>0</v>
      </c>
      <c r="K13" s="21" t="b">
        <v>0</v>
      </c>
      <c r="L13" s="21" t="b">
        <v>0</v>
      </c>
      <c r="M13" s="21" t="b">
        <v>0</v>
      </c>
      <c r="N13" s="21" t="b">
        <v>0</v>
      </c>
      <c r="O13" s="21" t="b">
        <v>1</v>
      </c>
      <c r="P13" s="21" t="b">
        <v>1</v>
      </c>
      <c r="Q13" s="21" t="b">
        <v>0</v>
      </c>
      <c r="R13" s="21" t="b">
        <v>1</v>
      </c>
      <c r="S13" s="21" t="b">
        <v>1</v>
      </c>
      <c r="T13" s="21" t="b">
        <v>1</v>
      </c>
      <c r="U13" s="21" t="b">
        <v>1</v>
      </c>
      <c r="V13" s="21" t="b">
        <v>1</v>
      </c>
      <c r="W13" s="21" t="b">
        <v>1</v>
      </c>
      <c r="X13" s="21" t="b">
        <v>0</v>
      </c>
      <c r="Y13" s="21" t="b">
        <v>0</v>
      </c>
      <c r="Z13" s="21" t="b">
        <v>0</v>
      </c>
      <c r="AA13" s="21" t="b">
        <v>0</v>
      </c>
      <c r="AB13" s="21" t="b">
        <v>0</v>
      </c>
      <c r="AC13" s="21" t="b">
        <v>0</v>
      </c>
    </row>
    <row r="14" ht="15.75" customHeight="1">
      <c r="A14" s="26" t="s">
        <v>61</v>
      </c>
      <c r="B14" s="14">
        <f t="shared" si="1"/>
        <v>0.8333333333</v>
      </c>
      <c r="C14" s="14">
        <f t="shared" si="2"/>
        <v>0.68</v>
      </c>
      <c r="D14" s="14"/>
      <c r="E14" s="21" t="b">
        <v>1</v>
      </c>
      <c r="F14" s="21" t="b">
        <v>1</v>
      </c>
      <c r="G14" s="21" t="b">
        <v>1</v>
      </c>
      <c r="H14" s="21" t="b">
        <v>0</v>
      </c>
      <c r="I14" s="21" t="b">
        <v>1</v>
      </c>
      <c r="J14" s="21" t="b">
        <v>1</v>
      </c>
      <c r="K14" s="21" t="b">
        <v>0</v>
      </c>
      <c r="L14" s="21" t="b">
        <v>1</v>
      </c>
      <c r="M14" s="21" t="b">
        <v>1</v>
      </c>
      <c r="N14" s="21" t="b">
        <v>1</v>
      </c>
      <c r="O14" s="21" t="b">
        <v>1</v>
      </c>
      <c r="P14" s="21" t="b">
        <v>1</v>
      </c>
      <c r="Q14" s="21" t="b">
        <v>0</v>
      </c>
      <c r="R14" s="21" t="b">
        <v>1</v>
      </c>
      <c r="S14" s="21" t="b">
        <v>1</v>
      </c>
      <c r="T14" s="21" t="b">
        <v>1</v>
      </c>
      <c r="U14" s="21" t="b">
        <v>1</v>
      </c>
      <c r="V14" s="21" t="b">
        <v>1</v>
      </c>
      <c r="W14" s="21" t="b">
        <v>1</v>
      </c>
      <c r="X14" s="21" t="b">
        <v>1</v>
      </c>
      <c r="Y14" s="21" t="b">
        <v>0</v>
      </c>
      <c r="Z14" s="21" t="b">
        <v>0</v>
      </c>
      <c r="AA14" s="21" t="b">
        <v>0</v>
      </c>
      <c r="AB14" s="21" t="b">
        <v>0</v>
      </c>
      <c r="AC14" s="21" t="b">
        <v>0</v>
      </c>
    </row>
    <row r="15" ht="15.75" customHeight="1">
      <c r="A15" s="26" t="s">
        <v>62</v>
      </c>
      <c r="B15" s="14">
        <f t="shared" si="1"/>
        <v>0.4444444444</v>
      </c>
      <c r="C15" s="14">
        <f t="shared" si="2"/>
        <v>0.32</v>
      </c>
      <c r="D15" s="14"/>
      <c r="E15" s="21" t="b">
        <v>1</v>
      </c>
      <c r="F15" s="21" t="b">
        <v>0</v>
      </c>
      <c r="G15" s="21" t="b">
        <v>0</v>
      </c>
      <c r="H15" s="21" t="b">
        <v>0</v>
      </c>
      <c r="I15" s="21" t="b">
        <v>0</v>
      </c>
      <c r="J15" s="21" t="b">
        <v>0</v>
      </c>
      <c r="K15" s="21" t="b">
        <v>0</v>
      </c>
      <c r="L15" s="21" t="b">
        <v>0</v>
      </c>
      <c r="M15" s="21" t="b">
        <v>0</v>
      </c>
      <c r="N15" s="21" t="b">
        <v>0</v>
      </c>
      <c r="O15" s="21" t="b">
        <v>1</v>
      </c>
      <c r="P15" s="21" t="b">
        <v>0</v>
      </c>
      <c r="Q15" s="21" t="b">
        <v>1</v>
      </c>
      <c r="R15" s="21" t="b">
        <v>1</v>
      </c>
      <c r="S15" s="21" t="b">
        <v>1</v>
      </c>
      <c r="T15" s="21" t="b">
        <v>1</v>
      </c>
      <c r="U15" s="21" t="b">
        <v>1</v>
      </c>
      <c r="V15" s="21" t="b">
        <v>1</v>
      </c>
      <c r="W15" s="21" t="b">
        <v>0</v>
      </c>
      <c r="X15" s="21" t="b">
        <v>0</v>
      </c>
      <c r="Y15" s="21" t="b">
        <v>0</v>
      </c>
      <c r="Z15" s="21" t="b">
        <v>0</v>
      </c>
      <c r="AA15" s="21" t="b">
        <v>0</v>
      </c>
      <c r="AB15" s="21" t="b">
        <v>0</v>
      </c>
      <c r="AC15" s="21" t="b">
        <v>0</v>
      </c>
    </row>
    <row r="16" ht="15.75" customHeight="1">
      <c r="A16" s="26" t="s">
        <v>63</v>
      </c>
      <c r="B16" s="14">
        <f t="shared" si="1"/>
        <v>0.5</v>
      </c>
      <c r="C16" s="14">
        <f t="shared" si="2"/>
        <v>0.4</v>
      </c>
      <c r="D16" s="14"/>
      <c r="E16" s="21" t="b">
        <v>1</v>
      </c>
      <c r="F16" s="21" t="b">
        <v>0</v>
      </c>
      <c r="G16" s="21" t="b">
        <v>0</v>
      </c>
      <c r="H16" s="21" t="b">
        <v>0</v>
      </c>
      <c r="I16" s="21" t="b">
        <v>0</v>
      </c>
      <c r="J16" s="21" t="b">
        <v>0</v>
      </c>
      <c r="K16" s="21" t="b">
        <v>0</v>
      </c>
      <c r="L16" s="21" t="b">
        <v>1</v>
      </c>
      <c r="M16" s="21" t="b">
        <v>0</v>
      </c>
      <c r="N16" s="21" t="b">
        <v>0</v>
      </c>
      <c r="O16" s="21" t="b">
        <v>1</v>
      </c>
      <c r="P16" s="21" t="b">
        <v>1</v>
      </c>
      <c r="Q16" s="21" t="b">
        <v>0</v>
      </c>
      <c r="R16" s="21" t="b">
        <v>1</v>
      </c>
      <c r="S16" s="21" t="b">
        <v>1</v>
      </c>
      <c r="T16" s="21" t="b">
        <v>1</v>
      </c>
      <c r="U16" s="21" t="b">
        <v>1</v>
      </c>
      <c r="V16" s="21" t="b">
        <v>1</v>
      </c>
      <c r="W16" s="21" t="b">
        <v>1</v>
      </c>
      <c r="X16" s="21" t="b">
        <v>0</v>
      </c>
      <c r="Y16" s="21" t="b">
        <v>0</v>
      </c>
      <c r="Z16" s="21" t="b">
        <v>0</v>
      </c>
      <c r="AA16" s="21" t="b">
        <v>0</v>
      </c>
      <c r="AB16" s="21" t="b">
        <v>0</v>
      </c>
      <c r="AC16" s="21" t="b">
        <v>0</v>
      </c>
    </row>
    <row r="17" ht="15.75" customHeight="1">
      <c r="A17" s="10" t="s">
        <v>64</v>
      </c>
      <c r="B17" s="10">
        <v>18.0</v>
      </c>
      <c r="C17" s="10">
        <v>25.0</v>
      </c>
      <c r="E17" s="21">
        <f t="shared" ref="E17:AC17" si="3">COUNTIF(E2:E16, TRUE)</f>
        <v>5</v>
      </c>
      <c r="F17" s="21">
        <f t="shared" si="3"/>
        <v>10</v>
      </c>
      <c r="G17" s="21">
        <f t="shared" si="3"/>
        <v>5</v>
      </c>
      <c r="H17" s="21">
        <f t="shared" si="3"/>
        <v>0</v>
      </c>
      <c r="I17" s="21">
        <f t="shared" si="3"/>
        <v>3</v>
      </c>
      <c r="J17" s="21">
        <f t="shared" si="3"/>
        <v>6</v>
      </c>
      <c r="K17" s="21">
        <f t="shared" si="3"/>
        <v>0</v>
      </c>
      <c r="L17" s="21">
        <f t="shared" si="3"/>
        <v>4</v>
      </c>
      <c r="M17" s="21">
        <f t="shared" si="3"/>
        <v>2</v>
      </c>
      <c r="N17" s="21">
        <f t="shared" si="3"/>
        <v>2</v>
      </c>
      <c r="O17" s="21">
        <f t="shared" si="3"/>
        <v>13</v>
      </c>
      <c r="P17" s="21">
        <f t="shared" si="3"/>
        <v>7</v>
      </c>
      <c r="Q17" s="21">
        <f t="shared" si="3"/>
        <v>1</v>
      </c>
      <c r="R17" s="21">
        <f t="shared" si="3"/>
        <v>15</v>
      </c>
      <c r="S17" s="21">
        <f t="shared" si="3"/>
        <v>15</v>
      </c>
      <c r="T17" s="21">
        <f t="shared" si="3"/>
        <v>15</v>
      </c>
      <c r="U17" s="21">
        <f t="shared" si="3"/>
        <v>15</v>
      </c>
      <c r="V17" s="21">
        <f t="shared" si="3"/>
        <v>15</v>
      </c>
      <c r="W17" s="21">
        <f t="shared" si="3"/>
        <v>14</v>
      </c>
      <c r="X17" s="21">
        <f t="shared" si="3"/>
        <v>1</v>
      </c>
      <c r="Y17" s="21">
        <f t="shared" si="3"/>
        <v>1</v>
      </c>
      <c r="Z17" s="21">
        <f t="shared" si="3"/>
        <v>2</v>
      </c>
      <c r="AA17" s="21">
        <f t="shared" si="3"/>
        <v>0</v>
      </c>
      <c r="AB17" s="21">
        <f t="shared" si="3"/>
        <v>0</v>
      </c>
      <c r="AC17" s="21">
        <f t="shared" si="3"/>
        <v>0</v>
      </c>
    </row>
    <row r="18" ht="15.75" customHeight="1"/>
    <row r="19" ht="15.75" customHeight="1"/>
    <row r="20" ht="15.75" customHeight="1">
      <c r="E20" s="33" t="s">
        <v>65</v>
      </c>
    </row>
    <row r="21" ht="15.75" customHeight="1">
      <c r="A21" s="26"/>
      <c r="E21" s="34" t="s">
        <v>66</v>
      </c>
    </row>
    <row r="22" ht="15.75" customHeight="1">
      <c r="A22" s="26"/>
      <c r="E22" s="36" t="s">
        <v>28</v>
      </c>
    </row>
    <row r="23" ht="15.75" customHeight="1">
      <c r="A23" s="26"/>
      <c r="E23" s="37" t="s">
        <v>68</v>
      </c>
    </row>
    <row r="24" ht="15.75" customHeight="1">
      <c r="A24" s="26"/>
      <c r="E24" s="26"/>
    </row>
    <row r="25" ht="15.75" customHeight="1">
      <c r="A25" s="26"/>
      <c r="E25" s="26"/>
    </row>
    <row r="26" ht="15.75" customHeight="1">
      <c r="A26" s="26"/>
      <c r="E26" s="26"/>
    </row>
    <row r="27" ht="15.75" customHeight="1">
      <c r="A27" s="26"/>
      <c r="E27" s="26"/>
    </row>
    <row r="28" ht="15.75" customHeight="1">
      <c r="A28" s="26"/>
      <c r="E28" s="26"/>
    </row>
    <row r="29" ht="15.75" customHeight="1">
      <c r="A29" s="26"/>
      <c r="E29" s="26"/>
    </row>
    <row r="30" ht="15.75" customHeight="1">
      <c r="A30" s="26"/>
      <c r="E30" s="26"/>
    </row>
    <row r="31" ht="15.75" customHeight="1">
      <c r="A31" s="26"/>
      <c r="E31" s="26"/>
    </row>
    <row r="32" ht="15.75" customHeight="1">
      <c r="A32" s="26"/>
      <c r="E32" s="26"/>
    </row>
    <row r="33" ht="15.75" customHeight="1">
      <c r="A33" s="26"/>
      <c r="E33" s="26"/>
    </row>
    <row r="34" ht="15.75" customHeight="1">
      <c r="A34" s="26"/>
      <c r="E34" s="26"/>
    </row>
    <row r="35" ht="15.75" customHeight="1">
      <c r="A35" s="26"/>
      <c r="E35" s="26"/>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E2:AC17">
    <cfRule type="cellIs" dxfId="0" priority="1" operator="equal">
      <formula>"TRUE"</formula>
    </cfRule>
  </conditionalFormatting>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25"/>
    <col customWidth="1" min="2" max="6" width="12.63"/>
  </cols>
  <sheetData>
    <row r="1" ht="15.75" customHeight="1">
      <c r="A1" s="26"/>
      <c r="B1" s="26" t="s">
        <v>259</v>
      </c>
      <c r="C1" s="26" t="s">
        <v>260</v>
      </c>
      <c r="D1" s="26" t="s">
        <v>261</v>
      </c>
      <c r="E1" s="26" t="s">
        <v>262</v>
      </c>
      <c r="F1" s="26" t="s">
        <v>263</v>
      </c>
      <c r="G1" s="26" t="s">
        <v>264</v>
      </c>
      <c r="H1" s="26" t="s">
        <v>265</v>
      </c>
      <c r="I1" s="26" t="s">
        <v>266</v>
      </c>
      <c r="J1" s="26" t="s">
        <v>267</v>
      </c>
      <c r="K1" s="26" t="s">
        <v>268</v>
      </c>
      <c r="L1" s="26" t="s">
        <v>269</v>
      </c>
      <c r="M1" s="26" t="s">
        <v>270</v>
      </c>
    </row>
    <row r="2" ht="15.75" customHeight="1">
      <c r="B2" s="10" t="b">
        <v>1</v>
      </c>
      <c r="C2" s="10" t="b">
        <v>1</v>
      </c>
      <c r="D2" s="10" t="b">
        <v>1</v>
      </c>
      <c r="E2" s="10" t="b">
        <v>1</v>
      </c>
      <c r="F2" s="10" t="b">
        <v>1</v>
      </c>
      <c r="G2" s="10" t="b">
        <v>1</v>
      </c>
      <c r="H2" s="10" t="b">
        <v>1</v>
      </c>
      <c r="I2" s="10" t="b">
        <v>1</v>
      </c>
      <c r="J2" s="10" t="b">
        <v>1</v>
      </c>
      <c r="K2" s="10" t="b">
        <v>1</v>
      </c>
    </row>
    <row r="3" ht="15.75" customHeight="1">
      <c r="A3" s="26" t="s">
        <v>49</v>
      </c>
      <c r="B3" s="27"/>
      <c r="C3" s="26" t="s">
        <v>271</v>
      </c>
      <c r="D3" s="27" t="s">
        <v>272</v>
      </c>
      <c r="E3" s="27" t="s">
        <v>273</v>
      </c>
      <c r="F3" s="26"/>
      <c r="G3" s="26" t="s">
        <v>274</v>
      </c>
      <c r="H3" s="26"/>
      <c r="I3" s="26" t="s">
        <v>275</v>
      </c>
      <c r="J3" s="26" t="s">
        <v>276</v>
      </c>
      <c r="K3" s="26" t="s">
        <v>277</v>
      </c>
      <c r="L3" s="26"/>
      <c r="M3" s="26"/>
    </row>
    <row r="4" ht="15.75" customHeight="1">
      <c r="A4" s="26" t="s">
        <v>50</v>
      </c>
      <c r="B4" s="27"/>
      <c r="C4" s="27" t="s">
        <v>278</v>
      </c>
      <c r="D4" s="27" t="s">
        <v>279</v>
      </c>
      <c r="E4" s="27" t="s">
        <v>280</v>
      </c>
      <c r="F4" s="27" t="s">
        <v>281</v>
      </c>
      <c r="G4" s="26" t="s">
        <v>282</v>
      </c>
      <c r="H4" s="26"/>
      <c r="I4" s="26" t="s">
        <v>283</v>
      </c>
      <c r="J4" s="26" t="s">
        <v>284</v>
      </c>
      <c r="K4" s="26" t="s">
        <v>285</v>
      </c>
      <c r="L4" s="26"/>
      <c r="M4" s="26"/>
    </row>
    <row r="5" ht="15.75" customHeight="1">
      <c r="A5" s="26" t="s">
        <v>51</v>
      </c>
      <c r="B5" s="27"/>
      <c r="C5" s="26" t="s">
        <v>286</v>
      </c>
      <c r="D5" s="26"/>
      <c r="E5" s="26" t="s">
        <v>287</v>
      </c>
      <c r="F5" s="26"/>
      <c r="G5" s="26" t="s">
        <v>288</v>
      </c>
      <c r="H5" s="26"/>
      <c r="I5" s="26" t="s">
        <v>289</v>
      </c>
      <c r="J5" s="26" t="s">
        <v>290</v>
      </c>
      <c r="K5" s="26" t="s">
        <v>291</v>
      </c>
      <c r="L5" s="26"/>
      <c r="M5" s="26"/>
    </row>
    <row r="6" ht="15.75" customHeight="1">
      <c r="A6" s="26" t="s">
        <v>52</v>
      </c>
      <c r="B6" s="27"/>
      <c r="C6" s="27"/>
      <c r="D6" s="27"/>
      <c r="E6" s="27"/>
      <c r="F6" s="27"/>
      <c r="G6" s="26" t="s">
        <v>292</v>
      </c>
      <c r="H6" s="26"/>
      <c r="I6" s="26" t="s">
        <v>293</v>
      </c>
      <c r="K6" s="26" t="s">
        <v>294</v>
      </c>
      <c r="L6" s="26"/>
      <c r="M6" s="26"/>
    </row>
    <row r="7" ht="15.75" customHeight="1">
      <c r="A7" s="26" t="s">
        <v>53</v>
      </c>
      <c r="B7" s="27"/>
      <c r="C7" s="27" t="s">
        <v>295</v>
      </c>
      <c r="D7" s="27" t="s">
        <v>296</v>
      </c>
      <c r="E7" s="27" t="s">
        <v>297</v>
      </c>
      <c r="F7" s="27" t="s">
        <v>298</v>
      </c>
      <c r="G7" s="26" t="s">
        <v>282</v>
      </c>
      <c r="H7" s="26" t="s">
        <v>299</v>
      </c>
      <c r="I7" s="26" t="s">
        <v>300</v>
      </c>
      <c r="J7" s="26" t="s">
        <v>301</v>
      </c>
      <c r="K7" s="26" t="s">
        <v>302</v>
      </c>
      <c r="L7" s="26"/>
      <c r="M7" s="26"/>
    </row>
    <row r="8" ht="15.75" customHeight="1">
      <c r="A8" s="26" t="s">
        <v>54</v>
      </c>
      <c r="B8" s="27"/>
      <c r="C8" s="26" t="s">
        <v>303</v>
      </c>
      <c r="D8" s="26"/>
      <c r="E8" s="26" t="s">
        <v>304</v>
      </c>
      <c r="F8" s="26"/>
      <c r="G8" s="26" t="s">
        <v>282</v>
      </c>
      <c r="H8" s="26"/>
      <c r="I8" s="26" t="s">
        <v>305</v>
      </c>
      <c r="J8" s="26"/>
      <c r="K8" s="26" t="s">
        <v>306</v>
      </c>
      <c r="L8" s="26"/>
      <c r="M8" s="26"/>
    </row>
    <row r="9" ht="15.75" customHeight="1">
      <c r="A9" s="26" t="s">
        <v>55</v>
      </c>
      <c r="B9" s="27"/>
      <c r="C9" s="27" t="s">
        <v>295</v>
      </c>
      <c r="D9" s="27" t="s">
        <v>296</v>
      </c>
      <c r="E9" s="27" t="s">
        <v>307</v>
      </c>
      <c r="F9" s="27" t="s">
        <v>308</v>
      </c>
      <c r="G9" s="26" t="s">
        <v>282</v>
      </c>
      <c r="H9" s="26"/>
      <c r="I9" s="26" t="s">
        <v>309</v>
      </c>
      <c r="J9" s="26"/>
      <c r="K9" s="26" t="s">
        <v>310</v>
      </c>
      <c r="L9" s="26"/>
      <c r="M9" s="26"/>
    </row>
    <row r="10" ht="15.75" customHeight="1">
      <c r="A10" s="26" t="s">
        <v>56</v>
      </c>
      <c r="B10" s="27"/>
      <c r="C10" s="27" t="s">
        <v>295</v>
      </c>
      <c r="D10" s="27" t="s">
        <v>296</v>
      </c>
      <c r="E10" s="27" t="s">
        <v>297</v>
      </c>
      <c r="F10" s="26"/>
      <c r="G10" s="26" t="s">
        <v>311</v>
      </c>
      <c r="H10" s="26"/>
      <c r="I10" s="26" t="s">
        <v>312</v>
      </c>
      <c r="J10" s="26"/>
      <c r="K10" s="26" t="s">
        <v>313</v>
      </c>
      <c r="L10" s="26"/>
      <c r="M10" s="26"/>
    </row>
    <row r="11" ht="15.75" customHeight="1">
      <c r="A11" s="26" t="s">
        <v>57</v>
      </c>
      <c r="B11" s="27"/>
      <c r="C11" s="27" t="s">
        <v>314</v>
      </c>
      <c r="D11" s="27" t="s">
        <v>315</v>
      </c>
      <c r="E11" s="27" t="s">
        <v>316</v>
      </c>
      <c r="F11" s="26"/>
      <c r="G11" s="26" t="s">
        <v>317</v>
      </c>
      <c r="H11" s="26"/>
      <c r="I11" s="26" t="s">
        <v>318</v>
      </c>
      <c r="J11" s="26"/>
      <c r="K11" s="26" t="s">
        <v>319</v>
      </c>
      <c r="L11" s="26"/>
      <c r="M11" s="26"/>
      <c r="N11" s="26"/>
    </row>
    <row r="12" ht="15.75" customHeight="1">
      <c r="A12" s="26" t="s">
        <v>58</v>
      </c>
      <c r="B12" s="27"/>
      <c r="C12" s="30" t="s">
        <v>320</v>
      </c>
      <c r="D12" s="26"/>
      <c r="E12" s="26" t="s">
        <v>282</v>
      </c>
      <c r="F12" s="26"/>
      <c r="G12" s="26" t="s">
        <v>321</v>
      </c>
      <c r="H12" s="26"/>
      <c r="I12" s="26" t="s">
        <v>322</v>
      </c>
      <c r="J12" s="26"/>
      <c r="K12" s="26" t="s">
        <v>323</v>
      </c>
      <c r="L12" s="26"/>
      <c r="M12" s="26"/>
    </row>
    <row r="13" ht="15.75" customHeight="1">
      <c r="A13" s="26" t="s">
        <v>59</v>
      </c>
      <c r="B13" s="27"/>
      <c r="C13" s="27" t="s">
        <v>324</v>
      </c>
      <c r="D13" s="27" t="s">
        <v>279</v>
      </c>
      <c r="E13" s="27" t="s">
        <v>325</v>
      </c>
      <c r="F13" s="26"/>
      <c r="G13" s="26" t="s">
        <v>326</v>
      </c>
      <c r="H13" s="26"/>
      <c r="I13" s="26" t="s">
        <v>327</v>
      </c>
      <c r="J13" s="26"/>
      <c r="K13" s="26" t="s">
        <v>328</v>
      </c>
      <c r="L13" s="26"/>
      <c r="M13" s="26"/>
    </row>
    <row r="14" ht="15.75" customHeight="1">
      <c r="A14" s="26" t="s">
        <v>60</v>
      </c>
      <c r="B14" s="27"/>
      <c r="C14" s="27" t="s">
        <v>278</v>
      </c>
      <c r="D14" s="27" t="s">
        <v>279</v>
      </c>
      <c r="E14" s="27" t="s">
        <v>329</v>
      </c>
      <c r="F14" s="26"/>
      <c r="G14" s="26" t="s">
        <v>330</v>
      </c>
      <c r="H14" s="26"/>
      <c r="I14" s="26" t="s">
        <v>331</v>
      </c>
      <c r="J14" s="26"/>
      <c r="K14" s="26" t="s">
        <v>332</v>
      </c>
      <c r="L14" s="26"/>
      <c r="M14" s="26"/>
    </row>
    <row r="15" ht="15.75" customHeight="1">
      <c r="A15" s="26" t="s">
        <v>61</v>
      </c>
      <c r="B15" s="27"/>
      <c r="C15" s="27" t="s">
        <v>278</v>
      </c>
      <c r="D15" s="27" t="s">
        <v>279</v>
      </c>
      <c r="E15" s="27" t="s">
        <v>280</v>
      </c>
      <c r="F15" s="27" t="s">
        <v>281</v>
      </c>
      <c r="G15" s="26" t="s">
        <v>333</v>
      </c>
      <c r="H15" s="26"/>
      <c r="I15" s="26"/>
      <c r="J15" s="26"/>
      <c r="K15" s="26" t="s">
        <v>334</v>
      </c>
      <c r="L15" s="26"/>
      <c r="M15" s="26"/>
    </row>
    <row r="16" ht="15.75" customHeight="1">
      <c r="A16" s="26" t="s">
        <v>62</v>
      </c>
      <c r="B16" s="27"/>
      <c r="C16" s="26" t="s">
        <v>335</v>
      </c>
      <c r="D16" s="26"/>
      <c r="E16" s="30" t="s">
        <v>287</v>
      </c>
      <c r="F16" s="26"/>
      <c r="G16" s="26" t="s">
        <v>336</v>
      </c>
      <c r="H16" s="26"/>
      <c r="I16" s="26" t="s">
        <v>337</v>
      </c>
      <c r="J16" s="26"/>
      <c r="K16" s="26" t="s">
        <v>338</v>
      </c>
      <c r="L16" s="26"/>
      <c r="M16" s="26"/>
    </row>
    <row r="17" ht="15.75" customHeight="1">
      <c r="A17" s="26" t="s">
        <v>63</v>
      </c>
      <c r="B17" s="27"/>
      <c r="C17" s="27" t="s">
        <v>278</v>
      </c>
      <c r="D17" s="27" t="s">
        <v>279</v>
      </c>
      <c r="E17" s="27" t="s">
        <v>280</v>
      </c>
      <c r="F17" s="26"/>
      <c r="G17" s="26" t="s">
        <v>282</v>
      </c>
      <c r="H17" s="26"/>
      <c r="I17" s="26" t="s">
        <v>339</v>
      </c>
      <c r="J17" s="26"/>
      <c r="K17" s="26" t="s">
        <v>340</v>
      </c>
      <c r="L17" s="26"/>
      <c r="M17" s="26"/>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