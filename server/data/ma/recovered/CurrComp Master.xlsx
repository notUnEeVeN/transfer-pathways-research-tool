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ar Complexity" sheetId="1" r:id="rId4"/>
    <sheet state="visible" name="Cost" sheetId="2" r:id="rId5"/>
    <sheet state="visible" name="Credit Hours" sheetId="3" r:id="rId6"/>
    <sheet state="visible" name="% Credit Hours" sheetId="4" r:id="rId7"/>
    <sheet state="visible" name="old % Credit Hour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double check first year seminar is waived
	-Baylon, Ryan Baylon</t>
      </text>
    </comment>
    <comment authorId="0" ref="A1">
      <text>
        <t xml:space="preserve">120
	-Baylon, Ryan Baylon</t>
      </text>
    </comment>
    <comment authorId="0" ref="H16">
      <text>
        <t xml:space="preserve">No listed prereqs grrrr
	-Baylon, Ryan Baylon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SO CLOSE to being MassTransfer, but its not quite. If this AS added ONE course as an elective, it would be like 90%
	-Baylon, Ryan Baylon</t>
      </text>
    </comment>
  </commentList>
</comments>
</file>

<file path=xl/sharedStrings.xml><?xml version="1.0" encoding="utf-8"?>
<sst xmlns="http://schemas.openxmlformats.org/spreadsheetml/2006/main" count="174" uniqueCount="44">
  <si>
    <t>Bridgewater</t>
  </si>
  <si>
    <t>Fitchburg</t>
  </si>
  <si>
    <t>Framingham</t>
  </si>
  <si>
    <t>MCLA</t>
  </si>
  <si>
    <t>Salem</t>
  </si>
  <si>
    <t>UMass Amherst</t>
  </si>
  <si>
    <t>UMass Boston</t>
  </si>
  <si>
    <t>UMass Dartmouth</t>
  </si>
  <si>
    <t>UMass Lowell</t>
  </si>
  <si>
    <t>Westfield</t>
  </si>
  <si>
    <t>Worcester</t>
  </si>
  <si>
    <t>Resident</t>
  </si>
  <si>
    <t>Berkshire</t>
  </si>
  <si>
    <t>Bristol</t>
  </si>
  <si>
    <t>Bunker Hill</t>
  </si>
  <si>
    <t>Cape Cod</t>
  </si>
  <si>
    <t>Greenfield</t>
  </si>
  <si>
    <t>Holyoke</t>
  </si>
  <si>
    <t>Massasoit</t>
  </si>
  <si>
    <t>MassBay</t>
  </si>
  <si>
    <t>Middlesex</t>
  </si>
  <si>
    <t>Mount Wachusett</t>
  </si>
  <si>
    <t>North Shore</t>
  </si>
  <si>
    <t>Northern Essex</t>
  </si>
  <si>
    <t>Quinsigamond</t>
  </si>
  <si>
    <t>Roxbury</t>
  </si>
  <si>
    <t>Springfield Technical</t>
  </si>
  <si>
    <t>Max</t>
  </si>
  <si>
    <t>Upper Quartile</t>
  </si>
  <si>
    <t>Median</t>
  </si>
  <si>
    <t>Lower Quartile</t>
  </si>
  <si>
    <t>Min</t>
  </si>
  <si>
    <t xml:space="preserve"> </t>
  </si>
  <si>
    <t>Mapped</t>
  </si>
  <si>
    <t>Ready to Upload</t>
  </si>
  <si>
    <t>Havent Gotten To</t>
  </si>
  <si>
    <t>Have degree, not pair</t>
  </si>
  <si>
    <t>Cannot get degree</t>
  </si>
  <si>
    <t>Diff from Median</t>
  </si>
  <si>
    <t>Cost / Year</t>
  </si>
  <si>
    <t>Cost / Credit</t>
  </si>
  <si>
    <t>4ys avg</t>
  </si>
  <si>
    <t>transfer avg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</si>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</sst>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2" numFmtId="3" xfId="0" applyAlignment="1" applyFill="1" applyFont="1" applyNumberFormat="1">
      <alignment readingOrder="0"/>
    </xf>
    <xf borderId="0" fillId="0" fontId="2" numFmtId="3" xfId="0" applyFont="1" applyNumberFormat="1"/>
    <xf borderId="0" fillId="3" fontId="1" numFmtId="0" xfId="0" applyAlignment="1" applyFill="1" applyFont="1">
      <alignment shrinkToFit="0" vertical="bottom" wrapText="0"/>
    </xf>
    <xf borderId="0" fillId="4" fontId="2" numFmtId="3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3" xfId="0" applyFont="1" applyNumberFormat="1"/>
    <xf borderId="0" fillId="5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2" numFmtId="0" xfId="0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5" fontId="2" numFmtId="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165" xfId="0" applyFont="1" applyNumberFormat="1"/>
    <xf borderId="0" fillId="2" fontId="2" numFmtId="165" xfId="0" applyAlignment="1" applyFont="1" applyNumberFormat="1">
      <alignment readingOrder="0"/>
    </xf>
    <xf borderId="0" fillId="2" fontId="2" numFmtId="165" xfId="0" applyFont="1" applyNumberFormat="1"/>
    <xf borderId="0" fillId="5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</cols>
  <sheetData>
    <row r="1">
      <c r="B1" s="1" t="s">
        <v>0</v>
      </c>
      <c r="C1" s="2" t="s">
        <v>1</v>
      </c>
      <c r="D1" s="3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2" t="s">
        <v>8</v>
      </c>
      <c r="K1" s="2" t="s">
        <v>9</v>
      </c>
      <c r="L1" s="2" t="s">
        <v>10</v>
      </c>
    </row>
    <row r="2">
      <c r="A2" s="3" t="s">
        <v>11</v>
      </c>
      <c r="B2" s="4">
        <v>160.0</v>
      </c>
      <c r="C2" s="4">
        <v>138.0</v>
      </c>
      <c r="D2" s="4">
        <v>139.0</v>
      </c>
      <c r="E2" s="4">
        <v>160.0</v>
      </c>
      <c r="F2" s="4">
        <v>157.0</v>
      </c>
      <c r="G2" s="4">
        <v>185.0</v>
      </c>
      <c r="H2" s="4">
        <v>169.0</v>
      </c>
      <c r="I2" s="4">
        <v>202.0</v>
      </c>
      <c r="J2" s="4">
        <v>143.0</v>
      </c>
      <c r="K2" s="4">
        <v>150.0</v>
      </c>
      <c r="L2" s="4">
        <v>105.0</v>
      </c>
    </row>
    <row r="3">
      <c r="A3" s="2" t="s">
        <v>12</v>
      </c>
      <c r="B3" s="5"/>
      <c r="C3" s="5"/>
      <c r="E3" s="4">
        <v>210.0</v>
      </c>
      <c r="F3" s="5"/>
      <c r="G3" s="5"/>
      <c r="H3" s="5"/>
      <c r="I3" s="5"/>
      <c r="J3" s="5"/>
      <c r="K3" s="4">
        <v>197.0</v>
      </c>
      <c r="L3" s="5"/>
    </row>
    <row r="4">
      <c r="A4" s="2" t="s">
        <v>13</v>
      </c>
      <c r="B4" s="4">
        <v>165.0</v>
      </c>
      <c r="C4" s="5"/>
      <c r="E4" s="5"/>
      <c r="F4" s="5"/>
      <c r="G4" s="5"/>
      <c r="H4" s="4">
        <v>170.0</v>
      </c>
      <c r="I4" s="4">
        <v>170.0</v>
      </c>
      <c r="J4" s="5"/>
      <c r="K4" s="5"/>
      <c r="L4" s="5"/>
    </row>
    <row r="5">
      <c r="A5" s="2" t="s">
        <v>14</v>
      </c>
      <c r="B5" s="4">
        <v>180.0</v>
      </c>
      <c r="C5" s="4">
        <v>179.0</v>
      </c>
      <c r="D5" s="4">
        <v>181.0</v>
      </c>
      <c r="E5" s="5"/>
      <c r="F5" s="4">
        <v>164.0</v>
      </c>
      <c r="G5" s="5"/>
      <c r="H5" s="4">
        <v>192.0</v>
      </c>
      <c r="I5" s="5"/>
      <c r="J5" s="4">
        <v>169.0</v>
      </c>
      <c r="K5" s="5"/>
      <c r="L5" s="5"/>
    </row>
    <row r="6">
      <c r="A6" s="2" t="s">
        <v>15</v>
      </c>
      <c r="B6" s="4">
        <v>113.0</v>
      </c>
      <c r="C6" s="5"/>
      <c r="E6" s="5"/>
      <c r="F6" s="5"/>
      <c r="G6" s="5"/>
      <c r="H6" s="5"/>
      <c r="I6" s="4">
        <v>183.0</v>
      </c>
      <c r="J6" s="5"/>
      <c r="K6" s="5"/>
      <c r="L6" s="5"/>
    </row>
    <row r="7">
      <c r="A7" s="2" t="s">
        <v>16</v>
      </c>
      <c r="B7" s="5"/>
      <c r="C7" s="5"/>
      <c r="E7" s="4">
        <v>218.0</v>
      </c>
      <c r="F7" s="5"/>
      <c r="G7" s="4">
        <v>191.0</v>
      </c>
      <c r="H7" s="5"/>
      <c r="I7" s="5"/>
      <c r="J7" s="5"/>
      <c r="K7" s="4">
        <v>154.0</v>
      </c>
      <c r="L7" s="5"/>
    </row>
    <row r="8">
      <c r="A8" s="2" t="s">
        <v>17</v>
      </c>
      <c r="B8" s="5"/>
      <c r="C8" s="5"/>
      <c r="E8" s="5"/>
      <c r="F8" s="5"/>
      <c r="G8" s="4">
        <v>210.0</v>
      </c>
      <c r="H8" s="5"/>
      <c r="I8" s="5"/>
      <c r="J8" s="5"/>
      <c r="K8" s="4">
        <v>177.0</v>
      </c>
      <c r="L8" s="5"/>
    </row>
    <row r="9">
      <c r="A9" s="6" t="s">
        <v>18</v>
      </c>
      <c r="B9" s="7"/>
      <c r="C9" s="5"/>
      <c r="D9" s="7"/>
      <c r="E9" s="5"/>
      <c r="F9" s="7"/>
      <c r="G9" s="5"/>
      <c r="H9" s="7"/>
      <c r="I9" s="7"/>
      <c r="J9" s="5"/>
      <c r="K9" s="5"/>
      <c r="L9" s="5"/>
    </row>
    <row r="10">
      <c r="A10" s="2" t="s">
        <v>19</v>
      </c>
      <c r="B10" s="4">
        <v>108.0</v>
      </c>
      <c r="C10" s="4">
        <v>102.0</v>
      </c>
      <c r="D10" s="4">
        <v>186.0</v>
      </c>
      <c r="E10" s="5"/>
      <c r="F10" s="4">
        <v>140.0</v>
      </c>
      <c r="G10" s="5"/>
      <c r="H10" s="4">
        <v>181.0</v>
      </c>
      <c r="I10" s="5"/>
      <c r="J10" s="4">
        <v>157.0</v>
      </c>
      <c r="K10" s="5"/>
      <c r="L10" s="4">
        <v>104.0</v>
      </c>
    </row>
    <row r="11">
      <c r="A11" s="2" t="s">
        <v>20</v>
      </c>
      <c r="B11" s="5"/>
      <c r="C11" s="4">
        <v>122.0</v>
      </c>
      <c r="D11" s="4">
        <v>196.0</v>
      </c>
      <c r="E11" s="5"/>
      <c r="F11" s="4">
        <v>195.0</v>
      </c>
      <c r="G11" s="5"/>
      <c r="H11" s="4">
        <v>203.0</v>
      </c>
      <c r="I11" s="5"/>
      <c r="J11" s="4">
        <v>174.0</v>
      </c>
      <c r="K11" s="5"/>
      <c r="L11" s="4">
        <v>118.0</v>
      </c>
    </row>
    <row r="12">
      <c r="A12" s="2" t="s">
        <v>21</v>
      </c>
      <c r="B12" s="5"/>
      <c r="C12" s="4">
        <v>119.0</v>
      </c>
      <c r="D12" s="4">
        <v>182.0</v>
      </c>
      <c r="E12" s="5"/>
      <c r="F12" s="5"/>
      <c r="G12" s="5"/>
      <c r="H12" s="5"/>
      <c r="I12" s="5"/>
      <c r="J12" s="5"/>
      <c r="K12" s="5"/>
      <c r="L12" s="4">
        <v>128.0</v>
      </c>
    </row>
    <row r="13">
      <c r="A13" s="2" t="s">
        <v>22</v>
      </c>
      <c r="B13" s="4">
        <v>129.0</v>
      </c>
      <c r="C13" s="5"/>
      <c r="D13" s="4">
        <v>186.0</v>
      </c>
      <c r="E13" s="5"/>
      <c r="F13" s="4">
        <v>128.0</v>
      </c>
      <c r="G13" s="5"/>
      <c r="H13" s="4">
        <v>204.0</v>
      </c>
      <c r="I13" s="5"/>
      <c r="J13" s="4">
        <v>162.0</v>
      </c>
      <c r="K13" s="5"/>
      <c r="L13" s="5"/>
    </row>
    <row r="14">
      <c r="A14" s="2" t="s">
        <v>23</v>
      </c>
      <c r="B14" s="5"/>
      <c r="C14" s="5"/>
      <c r="E14" s="5"/>
      <c r="F14" s="4">
        <v>211.0</v>
      </c>
      <c r="G14" s="5"/>
      <c r="H14" s="4">
        <v>201.0</v>
      </c>
      <c r="I14" s="5"/>
      <c r="J14" s="4">
        <v>215.0</v>
      </c>
      <c r="K14" s="5"/>
      <c r="L14" s="5"/>
    </row>
    <row r="15">
      <c r="A15" s="2" t="s">
        <v>24</v>
      </c>
      <c r="B15" s="5"/>
      <c r="C15" s="4">
        <v>120.0</v>
      </c>
      <c r="D15" s="4">
        <v>179.0</v>
      </c>
      <c r="E15" s="5"/>
      <c r="F15" s="5"/>
      <c r="G15" s="5"/>
      <c r="H15" s="5"/>
      <c r="I15" s="5"/>
      <c r="J15" s="4">
        <v>159.0</v>
      </c>
      <c r="K15" s="5"/>
      <c r="L15" s="4">
        <v>96.0</v>
      </c>
    </row>
    <row r="16">
      <c r="A16" s="6" t="s">
        <v>25</v>
      </c>
      <c r="B16" s="7"/>
      <c r="C16" s="7"/>
      <c r="D16" s="7"/>
      <c r="E16" s="5"/>
      <c r="F16" s="7"/>
      <c r="G16" s="5"/>
      <c r="H16" s="7"/>
      <c r="I16" s="5"/>
      <c r="J16" s="7"/>
      <c r="K16" s="5"/>
      <c r="L16" s="7"/>
    </row>
    <row r="17">
      <c r="A17" s="2" t="s">
        <v>26</v>
      </c>
      <c r="B17" s="5"/>
      <c r="C17" s="5"/>
      <c r="E17" s="5"/>
      <c r="F17" s="5"/>
      <c r="G17" s="4">
        <v>219.0</v>
      </c>
      <c r="H17" s="5"/>
      <c r="I17" s="5"/>
      <c r="J17" s="5"/>
      <c r="K17" s="4">
        <v>180.0</v>
      </c>
      <c r="L17" s="4">
        <v>135.0</v>
      </c>
    </row>
    <row r="18">
      <c r="A18" s="8" t="s">
        <v>27</v>
      </c>
      <c r="B18" s="9">
        <f t="shared" ref="B18:L18" si="1">MAX(B3:B17)</f>
        <v>180</v>
      </c>
      <c r="C18" s="9">
        <f t="shared" si="1"/>
        <v>179</v>
      </c>
      <c r="D18" s="9">
        <f t="shared" si="1"/>
        <v>196</v>
      </c>
      <c r="E18" s="9">
        <f t="shared" si="1"/>
        <v>218</v>
      </c>
      <c r="F18" s="9">
        <f t="shared" si="1"/>
        <v>211</v>
      </c>
      <c r="G18" s="9">
        <f t="shared" si="1"/>
        <v>219</v>
      </c>
      <c r="H18" s="9">
        <f t="shared" si="1"/>
        <v>204</v>
      </c>
      <c r="I18" s="9">
        <f t="shared" si="1"/>
        <v>183</v>
      </c>
      <c r="J18" s="9">
        <f t="shared" si="1"/>
        <v>215</v>
      </c>
      <c r="K18" s="9">
        <f t="shared" si="1"/>
        <v>197</v>
      </c>
      <c r="L18" s="9">
        <f t="shared" si="1"/>
        <v>135</v>
      </c>
    </row>
    <row r="19">
      <c r="A19" s="10" t="s">
        <v>28</v>
      </c>
      <c r="B19" s="9">
        <f t="shared" ref="B19:L19" si="2">QUARTILE(B3:B17, 3)</f>
        <v>165</v>
      </c>
      <c r="C19" s="9">
        <f t="shared" si="2"/>
        <v>122</v>
      </c>
      <c r="D19" s="9">
        <f t="shared" si="2"/>
        <v>186</v>
      </c>
      <c r="E19" s="9">
        <f t="shared" si="2"/>
        <v>216</v>
      </c>
      <c r="F19" s="9">
        <f t="shared" si="2"/>
        <v>195</v>
      </c>
      <c r="G19" s="9">
        <f t="shared" si="2"/>
        <v>214.5</v>
      </c>
      <c r="H19" s="9">
        <f t="shared" si="2"/>
        <v>202.5</v>
      </c>
      <c r="I19" s="9">
        <f t="shared" si="2"/>
        <v>179.75</v>
      </c>
      <c r="J19" s="9">
        <f t="shared" si="2"/>
        <v>172.75</v>
      </c>
      <c r="K19" s="9">
        <f t="shared" si="2"/>
        <v>184.25</v>
      </c>
      <c r="L19" s="9">
        <f t="shared" si="2"/>
        <v>128</v>
      </c>
    </row>
    <row r="20">
      <c r="A20" s="8" t="s">
        <v>29</v>
      </c>
      <c r="B20" s="9">
        <f t="shared" ref="B20:L20" si="3">MEDIAN(B3:B17)</f>
        <v>129</v>
      </c>
      <c r="C20" s="9">
        <f t="shared" si="3"/>
        <v>120</v>
      </c>
      <c r="D20" s="9">
        <f t="shared" si="3"/>
        <v>184</v>
      </c>
      <c r="E20" s="9">
        <f t="shared" si="3"/>
        <v>214</v>
      </c>
      <c r="F20" s="9">
        <f t="shared" si="3"/>
        <v>164</v>
      </c>
      <c r="G20" s="9">
        <f t="shared" si="3"/>
        <v>210</v>
      </c>
      <c r="H20" s="9">
        <f t="shared" si="3"/>
        <v>196.5</v>
      </c>
      <c r="I20" s="9">
        <f t="shared" si="3"/>
        <v>176.5</v>
      </c>
      <c r="J20" s="9">
        <f t="shared" si="3"/>
        <v>165.5</v>
      </c>
      <c r="K20" s="9">
        <f t="shared" si="3"/>
        <v>178.5</v>
      </c>
      <c r="L20" s="9">
        <f t="shared" si="3"/>
        <v>118</v>
      </c>
    </row>
    <row r="21">
      <c r="A21" s="8" t="s">
        <v>30</v>
      </c>
      <c r="B21" s="9">
        <f t="shared" ref="B21:L21" si="4">QUARTILE(B3:B17, 1)</f>
        <v>113</v>
      </c>
      <c r="C21" s="9">
        <f t="shared" si="4"/>
        <v>119</v>
      </c>
      <c r="D21" s="9">
        <f t="shared" si="4"/>
        <v>181.25</v>
      </c>
      <c r="E21" s="9">
        <f t="shared" si="4"/>
        <v>212</v>
      </c>
      <c r="F21" s="9">
        <f t="shared" si="4"/>
        <v>140</v>
      </c>
      <c r="G21" s="9">
        <f t="shared" si="4"/>
        <v>200.5</v>
      </c>
      <c r="H21" s="9">
        <f t="shared" si="4"/>
        <v>183.75</v>
      </c>
      <c r="I21" s="9">
        <f t="shared" si="4"/>
        <v>173.25</v>
      </c>
      <c r="J21" s="9">
        <f t="shared" si="4"/>
        <v>159.75</v>
      </c>
      <c r="K21" s="9">
        <f t="shared" si="4"/>
        <v>171.25</v>
      </c>
      <c r="L21" s="9">
        <f t="shared" si="4"/>
        <v>104</v>
      </c>
    </row>
    <row r="22">
      <c r="A22" s="8" t="s">
        <v>31</v>
      </c>
      <c r="B22" s="9">
        <f t="shared" ref="B22:L22" si="5">MIN(B7:B21)</f>
        <v>108</v>
      </c>
      <c r="C22" s="9">
        <f t="shared" si="5"/>
        <v>102</v>
      </c>
      <c r="D22" s="9">
        <f t="shared" si="5"/>
        <v>179</v>
      </c>
      <c r="E22" s="9">
        <f t="shared" si="5"/>
        <v>212</v>
      </c>
      <c r="F22" s="9">
        <f t="shared" si="5"/>
        <v>128</v>
      </c>
      <c r="G22" s="9">
        <f t="shared" si="5"/>
        <v>191</v>
      </c>
      <c r="H22" s="9">
        <f t="shared" si="5"/>
        <v>181</v>
      </c>
      <c r="I22" s="9">
        <f t="shared" si="5"/>
        <v>173.25</v>
      </c>
      <c r="J22" s="9">
        <f t="shared" si="5"/>
        <v>157</v>
      </c>
      <c r="K22" s="9">
        <f t="shared" si="5"/>
        <v>154</v>
      </c>
      <c r="L22" s="9">
        <f t="shared" si="5"/>
        <v>96</v>
      </c>
    </row>
    <row r="23">
      <c r="B23" s="5">
        <f t="shared" ref="B23:L23" si="6">B2-B20</f>
        <v>31</v>
      </c>
      <c r="C23" s="5">
        <f t="shared" si="6"/>
        <v>18</v>
      </c>
      <c r="D23" s="5">
        <f t="shared" si="6"/>
        <v>-45</v>
      </c>
      <c r="E23" s="5">
        <f t="shared" si="6"/>
        <v>-54</v>
      </c>
      <c r="F23" s="5">
        <f t="shared" si="6"/>
        <v>-7</v>
      </c>
      <c r="G23" s="5">
        <f t="shared" si="6"/>
        <v>-25</v>
      </c>
      <c r="H23" s="5">
        <f t="shared" si="6"/>
        <v>-27.5</v>
      </c>
      <c r="I23" s="5">
        <f t="shared" si="6"/>
        <v>25.5</v>
      </c>
      <c r="J23" s="5">
        <f t="shared" si="6"/>
        <v>-22.5</v>
      </c>
      <c r="K23" s="5">
        <f t="shared" si="6"/>
        <v>-28.5</v>
      </c>
      <c r="L23" s="5">
        <f t="shared" si="6"/>
        <v>-13</v>
      </c>
      <c r="M23" s="5">
        <f>MEDIAN(B23:L23)</f>
        <v>-22.5</v>
      </c>
    </row>
    <row r="27">
      <c r="G27" s="3" t="s">
        <v>32</v>
      </c>
    </row>
    <row r="28">
      <c r="A28" s="11" t="s">
        <v>33</v>
      </c>
      <c r="G28" s="12"/>
    </row>
    <row r="29">
      <c r="A29" s="13" t="s">
        <v>34</v>
      </c>
    </row>
    <row r="30">
      <c r="A30" s="14" t="s">
        <v>35</v>
      </c>
      <c r="B30" s="12"/>
    </row>
    <row r="31">
      <c r="A31" s="15" t="s">
        <v>36</v>
      </c>
    </row>
    <row r="32">
      <c r="A32" s="16" t="s">
        <v>37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3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2" t="s">
        <v>8</v>
      </c>
      <c r="K1" s="2" t="s">
        <v>9</v>
      </c>
      <c r="L1" s="2" t="s">
        <v>10</v>
      </c>
    </row>
    <row r="2">
      <c r="A2" s="3" t="s">
        <v>11</v>
      </c>
      <c r="B2" s="4">
        <f>('Credit Hours'!B2 -120)* $B$23</f>
        <v>0</v>
      </c>
      <c r="C2" s="4">
        <f>('Credit Hours'!C2-120) * $C$23</f>
        <v>0</v>
      </c>
      <c r="D2" s="4">
        <f>('Credit Hours'!D2 -120)* $D$23</f>
        <v>993.3333333</v>
      </c>
      <c r="E2" s="4">
        <f>('Credit Hours'!E2 -120)* $E$23</f>
        <v>0</v>
      </c>
      <c r="F2" s="4">
        <f>('Credit Hours'!F2-120) * $F$23</f>
        <v>514.1</v>
      </c>
      <c r="G2" s="4">
        <f>('Credit Hours'!G2-120) * $G$23</f>
        <v>740.5</v>
      </c>
      <c r="H2" s="4">
        <f>('Credit Hours'!H2-120) * $H$23</f>
        <v>0</v>
      </c>
      <c r="I2" s="4">
        <f>('Credit Hours'!I2-120) * $I$23</f>
        <v>0</v>
      </c>
      <c r="J2" s="4">
        <f>('Credit Hours'!J2-120) * $J$23</f>
        <v>706.9166667</v>
      </c>
      <c r="K2" s="4">
        <f>('Credit Hours'!K2-120) * $K$23</f>
        <v>0</v>
      </c>
      <c r="L2" s="4">
        <f>('Credit Hours'!L2-120) * $L$23</f>
        <v>0</v>
      </c>
    </row>
    <row r="3">
      <c r="A3" s="2" t="s">
        <v>12</v>
      </c>
      <c r="B3" s="5"/>
      <c r="C3" s="5"/>
      <c r="E3" s="4">
        <f>('Credit Hours'!E3 -120)* $E$23</f>
        <v>13201.5</v>
      </c>
      <c r="F3" s="5"/>
      <c r="G3" s="5"/>
      <c r="H3" s="5"/>
      <c r="I3" s="5"/>
      <c r="J3" s="5"/>
      <c r="K3" s="4">
        <f>('Credit Hours'!K3-120) * $K$23</f>
        <v>15970.16667</v>
      </c>
      <c r="L3" s="5"/>
    </row>
    <row r="4">
      <c r="A4" s="2" t="s">
        <v>13</v>
      </c>
      <c r="B4" s="4">
        <f>('Credit Hours'!B4 -120)* $B$23</f>
        <v>4889.166667</v>
      </c>
      <c r="C4" s="5"/>
      <c r="E4" s="5"/>
      <c r="F4" s="5"/>
      <c r="G4" s="5"/>
      <c r="H4" s="4">
        <f>('Credit Hours'!H4-120) * $H$23</f>
        <v>18085.16667</v>
      </c>
      <c r="I4" s="4">
        <f>('Credit Hours'!I4-120) * $I$23</f>
        <v>7806</v>
      </c>
      <c r="J4" s="5"/>
      <c r="K4" s="5"/>
      <c r="L4" s="5"/>
    </row>
    <row r="5">
      <c r="A5" s="2" t="s">
        <v>14</v>
      </c>
      <c r="B5" s="4">
        <f>('Credit Hours'!B5 -120)* $B$23</f>
        <v>14178.58333</v>
      </c>
      <c r="C5" s="4">
        <f>('Credit Hours'!C5-120) * $C$23</f>
        <v>2836.5</v>
      </c>
      <c r="D5" s="4">
        <f>('Credit Hours'!D5 -120)* $D$23</f>
        <v>17383.33333</v>
      </c>
      <c r="E5" s="5"/>
      <c r="F5" s="4">
        <f>('Credit Hours'!F5-120) * $F$23</f>
        <v>4626.9</v>
      </c>
      <c r="G5" s="5"/>
      <c r="H5" s="4">
        <f>('Credit Hours'!H5-120) * $H$23</f>
        <v>4173.5</v>
      </c>
      <c r="I5" s="5"/>
      <c r="J5" s="4">
        <f>('Credit Hours'!J5-120) * $J$23</f>
        <v>2827.666667</v>
      </c>
      <c r="K5" s="5"/>
      <c r="L5" s="5"/>
    </row>
    <row r="6">
      <c r="A6" s="2" t="s">
        <v>15</v>
      </c>
      <c r="B6" s="4">
        <f>('Credit Hours'!B6 -120)* $B$23</f>
        <v>5378.083333</v>
      </c>
      <c r="C6" s="5"/>
      <c r="E6" s="5"/>
      <c r="F6" s="5"/>
      <c r="G6" s="5"/>
      <c r="H6" s="5"/>
      <c r="I6" s="4">
        <f>('Credit Hours'!I6-120) * $I$23</f>
        <v>10408</v>
      </c>
      <c r="J6" s="5"/>
      <c r="K6" s="5"/>
      <c r="L6" s="5"/>
    </row>
    <row r="7">
      <c r="A7" s="2" t="s">
        <v>16</v>
      </c>
      <c r="B7" s="5"/>
      <c r="C7" s="5"/>
      <c r="E7" s="4">
        <f>('Credit Hours'!E7 -120)* $E$23</f>
        <v>13709.25</v>
      </c>
      <c r="F7" s="5"/>
      <c r="G7" s="4">
        <f>('Credit Hours'!G7-120) * $G$23</f>
        <v>1481</v>
      </c>
      <c r="H7" s="5"/>
      <c r="I7" s="5"/>
      <c r="J7" s="5"/>
      <c r="K7" s="4">
        <f>('Credit Hours'!K7-120) * $K$23</f>
        <v>7212.333333</v>
      </c>
      <c r="L7" s="5"/>
    </row>
    <row r="8">
      <c r="A8" s="2" t="s">
        <v>17</v>
      </c>
      <c r="B8" s="5"/>
      <c r="C8" s="5"/>
      <c r="E8" s="5"/>
      <c r="F8" s="5"/>
      <c r="G8" s="4">
        <f>('Credit Hours'!G8-120) * $G$23</f>
        <v>3702.5</v>
      </c>
      <c r="H8" s="5"/>
      <c r="I8" s="5"/>
      <c r="J8" s="5"/>
      <c r="K8" s="4">
        <f>('Credit Hours'!K8-120) * $K$23</f>
        <v>12364</v>
      </c>
      <c r="L8" s="5"/>
    </row>
    <row r="9">
      <c r="A9" s="2" t="s">
        <v>18</v>
      </c>
      <c r="B9" s="4">
        <f>('Credit Hours'!B9 -120)* $B$23</f>
        <v>2444.583333</v>
      </c>
      <c r="C9" s="5"/>
      <c r="D9" s="4">
        <f>('Credit Hours'!D9 -120)* $D$23</f>
        <v>11920</v>
      </c>
      <c r="E9" s="5"/>
      <c r="F9" s="4">
        <f>('Credit Hours'!F9-120) * $F$23</f>
        <v>3598.7</v>
      </c>
      <c r="G9" s="5"/>
      <c r="H9" s="4">
        <f>('Credit Hours'!H9-120) * $H$23</f>
        <v>14607.25</v>
      </c>
      <c r="I9" s="4">
        <f>('Credit Hours'!I9-120) * $I$23</f>
        <v>20165.5</v>
      </c>
      <c r="J9" s="5"/>
      <c r="K9" s="5"/>
      <c r="L9" s="5"/>
    </row>
    <row r="10">
      <c r="A10" s="2" t="s">
        <v>19</v>
      </c>
      <c r="B10" s="4">
        <f>('Credit Hours'!B10 -120)* $B$23</f>
        <v>5867</v>
      </c>
      <c r="C10" s="4">
        <f>('Credit Hours'!C10-120) * $C$23</f>
        <v>0</v>
      </c>
      <c r="D10" s="4">
        <f>('Credit Hours'!D10 -120)* $D$23</f>
        <v>20860</v>
      </c>
      <c r="E10" s="5"/>
      <c r="F10" s="4">
        <f>('Credit Hours'!F10-120) * $F$23</f>
        <v>2570.5</v>
      </c>
      <c r="G10" s="5"/>
      <c r="H10" s="4">
        <f>('Credit Hours'!H10-120) * $H$23</f>
        <v>4869.083333</v>
      </c>
      <c r="I10" s="5"/>
      <c r="J10" s="4">
        <f>('Credit Hours'!J10-120) * $J$23</f>
        <v>3534.583333</v>
      </c>
      <c r="K10" s="5"/>
      <c r="L10" s="4">
        <f>('Credit Hours'!L10-120) * $L$23</f>
        <v>3928.666667</v>
      </c>
    </row>
    <row r="11">
      <c r="A11" s="2" t="s">
        <v>20</v>
      </c>
      <c r="B11" s="5"/>
      <c r="C11" s="4">
        <f>('Credit Hours'!C11-120) * $C$23</f>
        <v>0</v>
      </c>
      <c r="D11" s="4">
        <f>('Credit Hours'!D11 -120)* $D$23</f>
        <v>19370</v>
      </c>
      <c r="E11" s="5"/>
      <c r="F11" s="4">
        <f>('Credit Hours'!F11-120) * $F$23</f>
        <v>11310.2</v>
      </c>
      <c r="G11" s="5"/>
      <c r="H11" s="4">
        <f>('Credit Hours'!H11-120) * $H$23</f>
        <v>15302.83333</v>
      </c>
      <c r="I11" s="5"/>
      <c r="J11" s="4">
        <f>('Credit Hours'!J11-120) * $J$23</f>
        <v>1413.833333</v>
      </c>
      <c r="K11" s="5"/>
      <c r="L11" s="4">
        <f>('Credit Hours'!L11-120) * $L$23</f>
        <v>3437.583333</v>
      </c>
    </row>
    <row r="12">
      <c r="A12" s="2" t="s">
        <v>21</v>
      </c>
      <c r="B12" s="5"/>
      <c r="C12" s="4">
        <f>('Credit Hours'!C12-120) * $C$23</f>
        <v>2363.75</v>
      </c>
      <c r="D12" s="4">
        <f>('Credit Hours'!D12 -120)* $D$23</f>
        <v>16390</v>
      </c>
      <c r="E12" s="5"/>
      <c r="F12" s="5"/>
      <c r="G12" s="5"/>
      <c r="H12" s="5"/>
      <c r="I12" s="5"/>
      <c r="J12" s="5"/>
      <c r="K12" s="5"/>
      <c r="L12" s="4">
        <f>('Credit Hours'!L12-120) * $L$23</f>
        <v>5893</v>
      </c>
    </row>
    <row r="13">
      <c r="A13" s="2" t="s">
        <v>22</v>
      </c>
      <c r="B13" s="4">
        <f>('Credit Hours'!B13 -120)* $B$23</f>
        <v>6355.916667</v>
      </c>
      <c r="C13" s="5"/>
      <c r="D13" s="4">
        <f>('Credit Hours'!D13 -120)* $D$23</f>
        <v>16886.66667</v>
      </c>
      <c r="E13" s="5"/>
      <c r="F13" s="4">
        <f>('Credit Hours'!F13-120) * $F$23</f>
        <v>3084.6</v>
      </c>
      <c r="G13" s="5"/>
      <c r="H13" s="4">
        <f>('Credit Hours'!H13-120) * $H$23</f>
        <v>16694</v>
      </c>
      <c r="I13" s="5"/>
      <c r="J13" s="4">
        <f>('Credit Hours'!J13-120) * $J$23</f>
        <v>4241.5</v>
      </c>
      <c r="K13" s="5"/>
      <c r="L13" s="5"/>
    </row>
    <row r="14">
      <c r="A14" s="2" t="s">
        <v>23</v>
      </c>
      <c r="B14" s="5"/>
      <c r="C14" s="5"/>
      <c r="E14" s="5"/>
      <c r="F14" s="4">
        <f>('Credit Hours'!F14-120) * $F$23</f>
        <v>5655.1</v>
      </c>
      <c r="G14" s="5"/>
      <c r="H14" s="4">
        <f>('Credit Hours'!H14-120) * $H$23</f>
        <v>24345.41667</v>
      </c>
      <c r="I14" s="5"/>
      <c r="J14" s="4">
        <f>('Credit Hours'!J14-120) * $J$23</f>
        <v>15552.16667</v>
      </c>
      <c r="K14" s="5"/>
      <c r="L14" s="5"/>
    </row>
    <row r="15">
      <c r="A15" s="2" t="s">
        <v>24</v>
      </c>
      <c r="B15" s="5"/>
      <c r="C15" s="4">
        <f>('Credit Hours'!C15-120) * $C$23</f>
        <v>0</v>
      </c>
      <c r="D15" s="4">
        <f>('Credit Hours'!D15 -120)* $D$23</f>
        <v>12913.33333</v>
      </c>
      <c r="E15" s="5"/>
      <c r="F15" s="5"/>
      <c r="G15" s="5"/>
      <c r="H15" s="5"/>
      <c r="I15" s="5"/>
      <c r="J15" s="4">
        <f>('Credit Hours'!J15-120) * $J$23</f>
        <v>1413.833333</v>
      </c>
      <c r="K15" s="5"/>
      <c r="L15" s="4">
        <f>('Credit Hours'!L15-120) * $L$23</f>
        <v>0</v>
      </c>
    </row>
    <row r="16">
      <c r="A16" s="2" t="s">
        <v>25</v>
      </c>
      <c r="B16" s="4">
        <f>('Credit Hours'!B16 -120)* $B$23</f>
        <v>17112.08333</v>
      </c>
      <c r="C16" s="4">
        <f>('Credit Hours'!C16-120) * $C$23</f>
        <v>14182.5</v>
      </c>
      <c r="D16" s="4">
        <f>('Credit Hours'!D16 -120)* $D$23</f>
        <v>18873.33333</v>
      </c>
      <c r="E16" s="5"/>
      <c r="F16" s="4">
        <f>('Credit Hours'!F16-120) * $F$23</f>
        <v>16451.2</v>
      </c>
      <c r="G16" s="5"/>
      <c r="H16" s="4">
        <f>('Credit Hours'!H16-120) * $H$23</f>
        <v>27127.75</v>
      </c>
      <c r="I16" s="5"/>
      <c r="J16" s="4">
        <f>('Credit Hours'!J16-120) * $J$23</f>
        <v>22621.33333</v>
      </c>
      <c r="K16" s="5"/>
      <c r="L16" s="4">
        <f>('Credit Hours'!L16-120) * $L$23</f>
        <v>12277.08333</v>
      </c>
    </row>
    <row r="17">
      <c r="A17" s="2" t="s">
        <v>26</v>
      </c>
      <c r="B17" s="5"/>
      <c r="C17" s="5"/>
      <c r="E17" s="5"/>
      <c r="F17" s="5"/>
      <c r="G17" s="4">
        <f>('Credit Hours'!G17-120) * $G$23</f>
        <v>8145.5</v>
      </c>
      <c r="H17" s="5"/>
      <c r="I17" s="5"/>
      <c r="J17" s="5"/>
      <c r="K17" s="4">
        <f>('Credit Hours'!K17-120) * $K$23</f>
        <v>7212.333333</v>
      </c>
      <c r="L17" s="4">
        <f>('Credit Hours'!L17-120) * $L$23</f>
        <v>5893</v>
      </c>
    </row>
    <row r="18">
      <c r="A18" s="8" t="s">
        <v>29</v>
      </c>
      <c r="B18" s="9">
        <f t="shared" ref="B18:L18" si="1">MEDIAN(B3:B17)</f>
        <v>5867</v>
      </c>
      <c r="C18" s="9">
        <f t="shared" si="1"/>
        <v>1181.875</v>
      </c>
      <c r="D18" s="9">
        <f t="shared" si="1"/>
        <v>17135</v>
      </c>
      <c r="E18" s="9">
        <f t="shared" si="1"/>
        <v>13455.375</v>
      </c>
      <c r="F18" s="9">
        <f t="shared" si="1"/>
        <v>4626.9</v>
      </c>
      <c r="G18" s="9">
        <f t="shared" si="1"/>
        <v>3702.5</v>
      </c>
      <c r="H18" s="9">
        <f t="shared" si="1"/>
        <v>15998.41667</v>
      </c>
      <c r="I18" s="9">
        <f t="shared" si="1"/>
        <v>10408</v>
      </c>
      <c r="J18" s="9">
        <f t="shared" si="1"/>
        <v>3534.583333</v>
      </c>
      <c r="K18" s="9">
        <f t="shared" si="1"/>
        <v>9788.166667</v>
      </c>
      <c r="L18" s="9">
        <f t="shared" si="1"/>
        <v>4910.833333</v>
      </c>
    </row>
    <row r="19">
      <c r="A19" s="8" t="s">
        <v>38</v>
      </c>
      <c r="B19" s="9">
        <f t="shared" ref="B19:L19" si="2">B18-B2</f>
        <v>5867</v>
      </c>
      <c r="C19" s="9">
        <f t="shared" si="2"/>
        <v>1181.875</v>
      </c>
      <c r="D19" s="9">
        <f t="shared" si="2"/>
        <v>16141.66667</v>
      </c>
      <c r="E19" s="9">
        <f t="shared" si="2"/>
        <v>13455.375</v>
      </c>
      <c r="F19" s="9">
        <f t="shared" si="2"/>
        <v>4112.8</v>
      </c>
      <c r="G19" s="9">
        <f t="shared" si="2"/>
        <v>2962</v>
      </c>
      <c r="H19" s="9">
        <f t="shared" si="2"/>
        <v>15998.41667</v>
      </c>
      <c r="I19" s="9">
        <f t="shared" si="2"/>
        <v>10408</v>
      </c>
      <c r="J19" s="9">
        <f t="shared" si="2"/>
        <v>2827.666667</v>
      </c>
      <c r="K19" s="9">
        <f t="shared" si="2"/>
        <v>9788.166667</v>
      </c>
      <c r="L19" s="9">
        <f t="shared" si="2"/>
        <v>4910.833333</v>
      </c>
    </row>
    <row r="22">
      <c r="A22" s="3" t="s">
        <v>39</v>
      </c>
      <c r="B22" s="17">
        <v>11734.0</v>
      </c>
      <c r="C22" s="17">
        <v>11346.0</v>
      </c>
      <c r="D22" s="17">
        <v>11920.0</v>
      </c>
      <c r="E22" s="12">
        <f>1030+11156</f>
        <v>12186</v>
      </c>
      <c r="F22" s="18">
        <v>12338.4</v>
      </c>
      <c r="G22" s="17">
        <v>17772.0</v>
      </c>
      <c r="H22" s="18">
        <v>16694.0</v>
      </c>
      <c r="I22" s="17">
        <v>15612.0</v>
      </c>
      <c r="J22" s="12">
        <f>16246+720</f>
        <v>16966</v>
      </c>
      <c r="K22" s="17">
        <v>12364.0</v>
      </c>
      <c r="L22" s="18">
        <v>11786.0</v>
      </c>
    </row>
    <row r="23">
      <c r="A23" s="3" t="s">
        <v>40</v>
      </c>
      <c r="B23" s="19">
        <f t="shared" ref="B23:L23" si="3">B22/24</f>
        <v>488.9166667</v>
      </c>
      <c r="C23" s="19">
        <f t="shared" si="3"/>
        <v>472.75</v>
      </c>
      <c r="D23" s="19">
        <f t="shared" si="3"/>
        <v>496.6666667</v>
      </c>
      <c r="E23" s="19">
        <f t="shared" si="3"/>
        <v>507.75</v>
      </c>
      <c r="F23" s="19">
        <f t="shared" si="3"/>
        <v>514.1</v>
      </c>
      <c r="G23" s="19">
        <f t="shared" si="3"/>
        <v>740.5</v>
      </c>
      <c r="H23" s="19">
        <f t="shared" si="3"/>
        <v>695.5833333</v>
      </c>
      <c r="I23" s="19">
        <f t="shared" si="3"/>
        <v>650.5</v>
      </c>
      <c r="J23" s="19">
        <f t="shared" si="3"/>
        <v>706.9166667</v>
      </c>
      <c r="K23" s="19">
        <f t="shared" si="3"/>
        <v>515.1666667</v>
      </c>
      <c r="L23" s="19">
        <f t="shared" si="3"/>
        <v>491.0833333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5"/>
    <col customWidth="1" min="2" max="2" width="17.63"/>
    <col customWidth="1" min="3" max="3" width="15.75"/>
    <col customWidth="1" min="4" max="4" width="18.13"/>
    <col customWidth="1" min="5" max="5" width="13.38"/>
    <col customWidth="1" min="6" max="6" width="13.5"/>
    <col customWidth="1" min="7" max="7" width="20.63"/>
    <col customWidth="1" min="8" max="8" width="19.63"/>
    <col customWidth="1" min="9" max="9" width="22.13"/>
    <col customWidth="1" min="10" max="10" width="19.13"/>
    <col customWidth="1" min="11" max="11" width="15.63"/>
    <col customWidth="1" min="12" max="12" width="16.25"/>
  </cols>
  <sheetData>
    <row r="1">
      <c r="B1" s="20" t="s">
        <v>0</v>
      </c>
      <c r="C1" s="21" t="s">
        <v>1</v>
      </c>
      <c r="D1" s="3" t="s">
        <v>2</v>
      </c>
      <c r="E1" s="20" t="s">
        <v>3</v>
      </c>
      <c r="F1" s="21" t="s">
        <v>4</v>
      </c>
      <c r="G1" s="21" t="s">
        <v>5</v>
      </c>
      <c r="H1" s="21" t="s">
        <v>6</v>
      </c>
      <c r="I1" s="20" t="s">
        <v>7</v>
      </c>
      <c r="J1" s="21" t="s">
        <v>8</v>
      </c>
      <c r="K1" s="21" t="s">
        <v>9</v>
      </c>
      <c r="L1" s="21" t="s">
        <v>10</v>
      </c>
    </row>
    <row r="2">
      <c r="A2" s="3" t="s">
        <v>11</v>
      </c>
      <c r="B2" s="4">
        <v>120.0</v>
      </c>
      <c r="C2" s="4">
        <v>120.0</v>
      </c>
      <c r="D2" s="4">
        <v>122.0</v>
      </c>
      <c r="E2" s="4">
        <v>120.0</v>
      </c>
      <c r="F2" s="4">
        <v>121.0</v>
      </c>
      <c r="G2" s="4">
        <v>121.0</v>
      </c>
      <c r="H2" s="4">
        <v>120.0</v>
      </c>
      <c r="I2" s="4">
        <v>120.0</v>
      </c>
      <c r="J2" s="4">
        <v>121.0</v>
      </c>
      <c r="K2" s="4">
        <v>120.0</v>
      </c>
      <c r="L2" s="4">
        <v>120.0</v>
      </c>
    </row>
    <row r="3">
      <c r="A3" s="2" t="s">
        <v>12</v>
      </c>
      <c r="B3" s="5"/>
      <c r="C3" s="5"/>
      <c r="E3" s="4">
        <v>146.0</v>
      </c>
      <c r="F3" s="5"/>
      <c r="G3" s="5"/>
      <c r="H3" s="5"/>
      <c r="I3" s="5"/>
      <c r="J3" s="5"/>
      <c r="K3" s="4">
        <v>151.0</v>
      </c>
      <c r="L3" s="5"/>
    </row>
    <row r="4">
      <c r="A4" s="2" t="s">
        <v>13</v>
      </c>
      <c r="B4" s="4">
        <v>130.0</v>
      </c>
      <c r="C4" s="5"/>
      <c r="E4" s="5"/>
      <c r="F4" s="5"/>
      <c r="G4" s="5"/>
      <c r="H4" s="4">
        <v>146.0</v>
      </c>
      <c r="I4" s="4">
        <v>132.0</v>
      </c>
      <c r="J4" s="5"/>
      <c r="K4" s="5"/>
      <c r="L4" s="5"/>
    </row>
    <row r="5">
      <c r="A5" s="2" t="s">
        <v>14</v>
      </c>
      <c r="B5" s="4">
        <v>149.0</v>
      </c>
      <c r="C5" s="4">
        <v>126.0</v>
      </c>
      <c r="D5" s="11">
        <v>155.0</v>
      </c>
      <c r="E5" s="5"/>
      <c r="F5" s="4">
        <v>129.0</v>
      </c>
      <c r="G5" s="5"/>
      <c r="H5" s="4">
        <v>126.0</v>
      </c>
      <c r="I5" s="5"/>
      <c r="J5" s="4">
        <v>124.0</v>
      </c>
      <c r="K5" s="5"/>
      <c r="L5" s="5"/>
    </row>
    <row r="6">
      <c r="A6" s="2" t="s">
        <v>15</v>
      </c>
      <c r="B6" s="4">
        <v>131.0</v>
      </c>
      <c r="C6" s="5"/>
      <c r="E6" s="5"/>
      <c r="F6" s="5"/>
      <c r="G6" s="5"/>
      <c r="H6" s="5"/>
      <c r="I6" s="4">
        <v>136.0</v>
      </c>
      <c r="J6" s="5"/>
      <c r="K6" s="5"/>
      <c r="L6" s="5"/>
    </row>
    <row r="7">
      <c r="A7" s="2" t="s">
        <v>16</v>
      </c>
      <c r="B7" s="5"/>
      <c r="C7" s="5"/>
      <c r="E7" s="4">
        <v>147.0</v>
      </c>
      <c r="F7" s="5"/>
      <c r="G7" s="4">
        <v>122.0</v>
      </c>
      <c r="H7" s="5"/>
      <c r="I7" s="5"/>
      <c r="J7" s="5"/>
      <c r="K7" s="4">
        <v>134.0</v>
      </c>
      <c r="L7" s="5"/>
      <c r="N7" s="8" t="s">
        <v>41</v>
      </c>
      <c r="O7" s="8" t="s">
        <v>42</v>
      </c>
    </row>
    <row r="8">
      <c r="A8" s="2" t="s">
        <v>17</v>
      </c>
      <c r="B8" s="5"/>
      <c r="C8" s="5"/>
      <c r="E8" s="5"/>
      <c r="F8" s="5"/>
      <c r="G8" s="4">
        <v>125.0</v>
      </c>
      <c r="H8" s="5"/>
      <c r="I8" s="5"/>
      <c r="J8" s="5"/>
      <c r="K8" s="4">
        <v>144.0</v>
      </c>
      <c r="L8" s="5"/>
      <c r="M8" s="8" t="s">
        <v>43</v>
      </c>
      <c r="N8" s="22">
        <f>SUM(B2:L2) / COUNT(B2:L2)</f>
        <v>120.4545455</v>
      </c>
      <c r="O8" s="22">
        <f>SUM(B3:L17) / COUNT(B3:L17)</f>
        <v>137.1967213</v>
      </c>
    </row>
    <row r="9">
      <c r="A9" s="2" t="s">
        <v>18</v>
      </c>
      <c r="B9" s="4">
        <v>125.0</v>
      </c>
      <c r="C9" s="5"/>
      <c r="D9" s="11">
        <v>144.0</v>
      </c>
      <c r="E9" s="5"/>
      <c r="F9" s="4">
        <v>127.0</v>
      </c>
      <c r="G9" s="5"/>
      <c r="H9" s="4">
        <v>141.0</v>
      </c>
      <c r="I9" s="4">
        <v>151.0</v>
      </c>
      <c r="J9" s="5"/>
      <c r="K9" s="5"/>
      <c r="L9" s="5"/>
      <c r="M9" s="8" t="s">
        <v>29</v>
      </c>
      <c r="N9" s="9">
        <f>MEDIAN(B2:M2)</f>
        <v>120</v>
      </c>
      <c r="O9" s="9">
        <f>MEDIAN(B3:L17)</f>
        <v>133</v>
      </c>
    </row>
    <row r="10">
      <c r="A10" s="2" t="s">
        <v>19</v>
      </c>
      <c r="B10" s="4">
        <v>132.0</v>
      </c>
      <c r="C10" s="4">
        <v>120.0</v>
      </c>
      <c r="D10" s="11">
        <v>162.0</v>
      </c>
      <c r="E10" s="5"/>
      <c r="F10" s="4">
        <v>125.0</v>
      </c>
      <c r="G10" s="5"/>
      <c r="H10" s="4">
        <v>127.0</v>
      </c>
      <c r="I10" s="5"/>
      <c r="J10" s="4">
        <v>125.0</v>
      </c>
      <c r="K10" s="5"/>
      <c r="L10" s="4">
        <v>128.0</v>
      </c>
    </row>
    <row r="11">
      <c r="A11" s="2" t="s">
        <v>20</v>
      </c>
      <c r="B11" s="5"/>
      <c r="C11" s="4">
        <v>120.0</v>
      </c>
      <c r="D11" s="11">
        <v>159.0</v>
      </c>
      <c r="E11" s="5"/>
      <c r="F11" s="4">
        <v>142.0</v>
      </c>
      <c r="G11" s="5"/>
      <c r="H11" s="4">
        <v>142.0</v>
      </c>
      <c r="I11" s="5"/>
      <c r="J11" s="4">
        <v>122.0</v>
      </c>
      <c r="K11" s="5"/>
      <c r="L11" s="23">
        <v>127.0</v>
      </c>
    </row>
    <row r="12">
      <c r="A12" s="2" t="s">
        <v>21</v>
      </c>
      <c r="B12" s="5"/>
      <c r="C12" s="4">
        <v>125.0</v>
      </c>
      <c r="D12" s="11">
        <v>153.0</v>
      </c>
      <c r="E12" s="5"/>
      <c r="F12" s="5"/>
      <c r="G12" s="5"/>
      <c r="H12" s="5"/>
      <c r="I12" s="5"/>
      <c r="J12" s="5"/>
      <c r="K12" s="5"/>
      <c r="L12" s="4">
        <v>132.0</v>
      </c>
    </row>
    <row r="13">
      <c r="A13" s="2" t="s">
        <v>22</v>
      </c>
      <c r="B13" s="4">
        <v>133.0</v>
      </c>
      <c r="C13" s="5"/>
      <c r="D13" s="11">
        <v>154.0</v>
      </c>
      <c r="E13" s="5"/>
      <c r="F13" s="4">
        <v>126.0</v>
      </c>
      <c r="G13" s="5"/>
      <c r="H13" s="4">
        <v>144.0</v>
      </c>
      <c r="I13" s="5"/>
      <c r="J13" s="4">
        <v>126.0</v>
      </c>
      <c r="K13" s="5"/>
      <c r="L13" s="5"/>
    </row>
    <row r="14">
      <c r="A14" s="2" t="s">
        <v>23</v>
      </c>
      <c r="B14" s="5"/>
      <c r="C14" s="5"/>
      <c r="E14" s="5"/>
      <c r="F14" s="4">
        <v>131.0</v>
      </c>
      <c r="G14" s="5"/>
      <c r="H14" s="4">
        <v>155.0</v>
      </c>
      <c r="I14" s="5"/>
      <c r="J14" s="4">
        <v>142.0</v>
      </c>
      <c r="K14" s="5"/>
      <c r="L14" s="5"/>
    </row>
    <row r="15">
      <c r="A15" s="2" t="s">
        <v>24</v>
      </c>
      <c r="B15" s="5"/>
      <c r="C15" s="4">
        <v>120.0</v>
      </c>
      <c r="D15" s="11">
        <v>146.0</v>
      </c>
      <c r="E15" s="5"/>
      <c r="F15" s="5"/>
      <c r="G15" s="5"/>
      <c r="H15" s="5"/>
      <c r="I15" s="5"/>
      <c r="J15" s="4">
        <v>122.0</v>
      </c>
      <c r="K15" s="5"/>
      <c r="L15" s="23">
        <v>120.0</v>
      </c>
    </row>
    <row r="16">
      <c r="A16" s="2" t="s">
        <v>25</v>
      </c>
      <c r="B16" s="4">
        <v>155.0</v>
      </c>
      <c r="C16" s="4">
        <v>150.0</v>
      </c>
      <c r="D16" s="11">
        <v>158.0</v>
      </c>
      <c r="E16" s="5"/>
      <c r="F16" s="4">
        <v>152.0</v>
      </c>
      <c r="G16" s="5"/>
      <c r="H16" s="4">
        <v>159.0</v>
      </c>
      <c r="I16" s="5"/>
      <c r="J16" s="4">
        <v>152.0</v>
      </c>
      <c r="K16" s="5"/>
      <c r="L16" s="4">
        <v>145.0</v>
      </c>
    </row>
    <row r="17">
      <c r="A17" s="2" t="s">
        <v>26</v>
      </c>
      <c r="B17" s="5"/>
      <c r="C17" s="5"/>
      <c r="E17" s="5"/>
      <c r="F17" s="5"/>
      <c r="G17" s="4">
        <v>131.0</v>
      </c>
      <c r="H17" s="5"/>
      <c r="I17" s="5"/>
      <c r="J17" s="5"/>
      <c r="K17" s="4">
        <v>134.0</v>
      </c>
      <c r="L17" s="4">
        <v>132.0</v>
      </c>
    </row>
    <row r="18">
      <c r="A18" s="8" t="s">
        <v>27</v>
      </c>
      <c r="B18" s="9">
        <f t="shared" ref="B18:L18" si="1">MAX(B3:B17)</f>
        <v>155</v>
      </c>
      <c r="C18" s="9">
        <f t="shared" si="1"/>
        <v>150</v>
      </c>
      <c r="D18" s="9">
        <f t="shared" si="1"/>
        <v>162</v>
      </c>
      <c r="E18" s="9">
        <f t="shared" si="1"/>
        <v>147</v>
      </c>
      <c r="F18" s="9">
        <f t="shared" si="1"/>
        <v>152</v>
      </c>
      <c r="G18" s="9">
        <f t="shared" si="1"/>
        <v>131</v>
      </c>
      <c r="H18" s="9">
        <f t="shared" si="1"/>
        <v>159</v>
      </c>
      <c r="I18" s="9">
        <f t="shared" si="1"/>
        <v>151</v>
      </c>
      <c r="J18" s="9">
        <f t="shared" si="1"/>
        <v>152</v>
      </c>
      <c r="K18" s="9">
        <f t="shared" si="1"/>
        <v>151</v>
      </c>
      <c r="L18" s="9">
        <f t="shared" si="1"/>
        <v>145</v>
      </c>
    </row>
    <row r="19">
      <c r="A19" s="10" t="s">
        <v>28</v>
      </c>
      <c r="B19" s="9">
        <f t="shared" ref="B19:L19" si="2">QUARTILE(B3:B17, 3)</f>
        <v>141</v>
      </c>
      <c r="C19" s="9">
        <f t="shared" si="2"/>
        <v>125.75</v>
      </c>
      <c r="D19" s="9">
        <f t="shared" si="2"/>
        <v>158.25</v>
      </c>
      <c r="E19" s="9">
        <f t="shared" si="2"/>
        <v>146.75</v>
      </c>
      <c r="F19" s="9">
        <f t="shared" si="2"/>
        <v>136.5</v>
      </c>
      <c r="G19" s="9">
        <f t="shared" si="2"/>
        <v>128</v>
      </c>
      <c r="H19" s="9">
        <f t="shared" si="2"/>
        <v>148.25</v>
      </c>
      <c r="I19" s="9">
        <f t="shared" si="2"/>
        <v>143.5</v>
      </c>
      <c r="J19" s="9">
        <f t="shared" si="2"/>
        <v>134</v>
      </c>
      <c r="K19" s="9">
        <f t="shared" si="2"/>
        <v>145.75</v>
      </c>
      <c r="L19" s="9">
        <f t="shared" si="2"/>
        <v>132</v>
      </c>
    </row>
    <row r="20">
      <c r="A20" s="8" t="s">
        <v>29</v>
      </c>
      <c r="B20" s="9">
        <f t="shared" ref="B20:L20" si="3">MEDIAN(B3:B17)</f>
        <v>132</v>
      </c>
      <c r="C20" s="9">
        <f t="shared" si="3"/>
        <v>122.5</v>
      </c>
      <c r="D20" s="9">
        <f t="shared" si="3"/>
        <v>154.5</v>
      </c>
      <c r="E20" s="9">
        <f t="shared" si="3"/>
        <v>146.5</v>
      </c>
      <c r="F20" s="9">
        <f t="shared" si="3"/>
        <v>129</v>
      </c>
      <c r="G20" s="9">
        <f t="shared" si="3"/>
        <v>125</v>
      </c>
      <c r="H20" s="9">
        <f t="shared" si="3"/>
        <v>143</v>
      </c>
      <c r="I20" s="9">
        <f t="shared" si="3"/>
        <v>136</v>
      </c>
      <c r="J20" s="9">
        <f t="shared" si="3"/>
        <v>125</v>
      </c>
      <c r="K20" s="9">
        <f t="shared" si="3"/>
        <v>139</v>
      </c>
      <c r="L20" s="9">
        <f t="shared" si="3"/>
        <v>130</v>
      </c>
      <c r="M20" s="5">
        <f>MEDIAN(B20:L20)</f>
        <v>132</v>
      </c>
    </row>
    <row r="21">
      <c r="A21" s="8" t="s">
        <v>30</v>
      </c>
      <c r="B21" s="9">
        <f t="shared" ref="B21:L21" si="4">QUARTILE(B3:B17, 1)</f>
        <v>130.5</v>
      </c>
      <c r="C21" s="9">
        <f t="shared" si="4"/>
        <v>120</v>
      </c>
      <c r="D21" s="9">
        <f t="shared" si="4"/>
        <v>151.25</v>
      </c>
      <c r="E21" s="9">
        <f t="shared" si="4"/>
        <v>146.25</v>
      </c>
      <c r="F21" s="9">
        <f t="shared" si="4"/>
        <v>126.5</v>
      </c>
      <c r="G21" s="9">
        <f t="shared" si="4"/>
        <v>123.5</v>
      </c>
      <c r="H21" s="9">
        <f t="shared" si="4"/>
        <v>137.5</v>
      </c>
      <c r="I21" s="9">
        <f t="shared" si="4"/>
        <v>134</v>
      </c>
      <c r="J21" s="9">
        <f t="shared" si="4"/>
        <v>123</v>
      </c>
      <c r="K21" s="9">
        <f t="shared" si="4"/>
        <v>134</v>
      </c>
      <c r="L21" s="9">
        <f t="shared" si="4"/>
        <v>127.25</v>
      </c>
    </row>
    <row r="22">
      <c r="A22" s="8" t="s">
        <v>31</v>
      </c>
      <c r="B22" s="9">
        <f t="shared" ref="B22:L22" si="5">MIN(B7:B21)</f>
        <v>125</v>
      </c>
      <c r="C22" s="9">
        <f t="shared" si="5"/>
        <v>120</v>
      </c>
      <c r="D22" s="9">
        <f t="shared" si="5"/>
        <v>144</v>
      </c>
      <c r="E22" s="9">
        <f t="shared" si="5"/>
        <v>146.25</v>
      </c>
      <c r="F22" s="9">
        <f t="shared" si="5"/>
        <v>125</v>
      </c>
      <c r="G22" s="9">
        <f t="shared" si="5"/>
        <v>122</v>
      </c>
      <c r="H22" s="9">
        <f t="shared" si="5"/>
        <v>127</v>
      </c>
      <c r="I22" s="9">
        <f t="shared" si="5"/>
        <v>134</v>
      </c>
      <c r="J22" s="9">
        <f t="shared" si="5"/>
        <v>122</v>
      </c>
      <c r="K22" s="9">
        <f t="shared" si="5"/>
        <v>134</v>
      </c>
      <c r="L22" s="9">
        <f t="shared" si="5"/>
        <v>120</v>
      </c>
    </row>
    <row r="23">
      <c r="B23" s="5">
        <f t="shared" ref="B23:L23" si="6">B20-B2</f>
        <v>12</v>
      </c>
      <c r="C23" s="5">
        <f t="shared" si="6"/>
        <v>2.5</v>
      </c>
      <c r="D23" s="5">
        <f t="shared" si="6"/>
        <v>32.5</v>
      </c>
      <c r="E23" s="5">
        <f t="shared" si="6"/>
        <v>26.5</v>
      </c>
      <c r="F23" s="5">
        <f t="shared" si="6"/>
        <v>8</v>
      </c>
      <c r="G23" s="5">
        <f t="shared" si="6"/>
        <v>4</v>
      </c>
      <c r="H23" s="5">
        <f t="shared" si="6"/>
        <v>23</v>
      </c>
      <c r="I23" s="5">
        <f t="shared" si="6"/>
        <v>16</v>
      </c>
      <c r="J23" s="5">
        <f t="shared" si="6"/>
        <v>4</v>
      </c>
      <c r="K23" s="5">
        <f t="shared" si="6"/>
        <v>19</v>
      </c>
      <c r="L23" s="5">
        <f t="shared" si="6"/>
        <v>10</v>
      </c>
      <c r="M23" s="5">
        <f>MEDIAN(B23:L23)</f>
        <v>12</v>
      </c>
    </row>
    <row r="25">
      <c r="A25" s="11" t="s">
        <v>33</v>
      </c>
    </row>
    <row r="26">
      <c r="A26" s="13" t="s">
        <v>34</v>
      </c>
    </row>
    <row r="27">
      <c r="A27" s="14" t="s">
        <v>35</v>
      </c>
    </row>
    <row r="28">
      <c r="A28" s="15" t="s">
        <v>36</v>
      </c>
    </row>
    <row r="29">
      <c r="A29" s="16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2" width="14.38"/>
    <col customWidth="1" min="4" max="4" width="14.88"/>
    <col customWidth="1" min="7" max="7" width="17.38"/>
    <col customWidth="1" min="8" max="8" width="16.38"/>
    <col customWidth="1" min="9" max="9" width="18.88"/>
    <col customWidth="1" min="10" max="10" width="15.88"/>
    <col customWidth="1" min="12" max="12" width="13.0"/>
  </cols>
  <sheetData>
    <row r="1">
      <c r="B1" s="20" t="s">
        <v>0</v>
      </c>
      <c r="C1" s="21" t="s">
        <v>1</v>
      </c>
      <c r="D1" s="3" t="s">
        <v>2</v>
      </c>
      <c r="E1" s="20" t="s">
        <v>3</v>
      </c>
      <c r="F1" s="21" t="s">
        <v>4</v>
      </c>
      <c r="G1" s="21" t="s">
        <v>5</v>
      </c>
      <c r="H1" s="21" t="s">
        <v>6</v>
      </c>
      <c r="I1" s="20" t="s">
        <v>7</v>
      </c>
      <c r="J1" s="21" t="s">
        <v>8</v>
      </c>
      <c r="K1" s="21" t="s">
        <v>9</v>
      </c>
      <c r="L1" s="21" t="s">
        <v>10</v>
      </c>
      <c r="M1" s="24"/>
    </row>
    <row r="2">
      <c r="A2" s="3" t="s">
        <v>11</v>
      </c>
      <c r="B2" s="25">
        <v>1.0</v>
      </c>
      <c r="C2" s="25">
        <v>1.0</v>
      </c>
      <c r="D2" s="25">
        <v>1.0</v>
      </c>
      <c r="E2" s="25">
        <v>1.0</v>
      </c>
      <c r="F2" s="25">
        <v>1.0</v>
      </c>
      <c r="G2" s="25">
        <v>1.0</v>
      </c>
      <c r="H2" s="25">
        <v>1.0</v>
      </c>
      <c r="I2" s="25">
        <v>1.0</v>
      </c>
      <c r="J2" s="25">
        <v>1.0</v>
      </c>
      <c r="K2" s="25">
        <v>1.0</v>
      </c>
      <c r="L2" s="25">
        <v>1.0</v>
      </c>
      <c r="M2" s="24"/>
      <c r="N2" s="24"/>
      <c r="O2" s="24"/>
    </row>
    <row r="3">
      <c r="A3" s="2" t="s">
        <v>12</v>
      </c>
      <c r="B3" s="24"/>
      <c r="C3" s="24"/>
      <c r="E3" s="25">
        <f>25/65</f>
        <v>0.3846153846</v>
      </c>
      <c r="F3" s="24"/>
      <c r="G3" s="24"/>
      <c r="H3" s="24"/>
      <c r="I3" s="24"/>
      <c r="J3" s="24"/>
      <c r="K3" s="25">
        <f>28/65</f>
        <v>0.4307692308</v>
      </c>
      <c r="L3" s="24"/>
      <c r="M3" s="24"/>
      <c r="N3" s="24"/>
      <c r="O3" s="24"/>
      <c r="P3" s="24"/>
      <c r="Q3" s="24"/>
      <c r="R3" s="24"/>
    </row>
    <row r="4">
      <c r="A4" s="2" t="s">
        <v>13</v>
      </c>
      <c r="B4" s="25">
        <f>51/69</f>
        <v>0.7391304348</v>
      </c>
      <c r="C4" s="24"/>
      <c r="E4" s="24"/>
      <c r="F4" s="24"/>
      <c r="G4" s="24"/>
      <c r="H4" s="25">
        <f>40/69</f>
        <v>0.5797101449</v>
      </c>
      <c r="I4" s="25">
        <f>54/69</f>
        <v>0.7826086957</v>
      </c>
      <c r="J4" s="24"/>
      <c r="K4" s="24"/>
      <c r="L4" s="24"/>
      <c r="M4" s="24"/>
      <c r="N4" s="24"/>
      <c r="O4" s="24"/>
      <c r="P4" s="24"/>
      <c r="Q4" s="24"/>
      <c r="R4" s="24"/>
    </row>
    <row r="5">
      <c r="A5" s="2" t="s">
        <v>14</v>
      </c>
      <c r="B5" s="25">
        <f>31/61</f>
        <v>0.5081967213</v>
      </c>
      <c r="C5" s="25">
        <f>50/61</f>
        <v>0.8196721311</v>
      </c>
      <c r="D5" s="25">
        <f>17/61</f>
        <v>0.2786885246</v>
      </c>
      <c r="E5" s="24"/>
      <c r="F5" s="25">
        <f>43/61</f>
        <v>0.7049180328</v>
      </c>
      <c r="G5" s="24"/>
      <c r="H5" s="25">
        <f>31/61</f>
        <v>0.5081967213</v>
      </c>
      <c r="I5" s="24"/>
      <c r="J5" s="25">
        <f>61/61</f>
        <v>1</v>
      </c>
      <c r="K5" s="24"/>
      <c r="L5" s="24"/>
      <c r="M5" s="24"/>
      <c r="N5" s="24"/>
      <c r="O5" s="24"/>
      <c r="P5" s="24"/>
      <c r="Q5" s="24"/>
      <c r="R5" s="24"/>
    </row>
    <row r="6">
      <c r="A6" s="2" t="s">
        <v>15</v>
      </c>
      <c r="B6" s="25">
        <f>52/69</f>
        <v>0.7536231884</v>
      </c>
      <c r="C6" s="24"/>
      <c r="E6" s="24"/>
      <c r="F6" s="24"/>
      <c r="G6" s="24"/>
      <c r="H6" s="24"/>
      <c r="I6" s="25">
        <f>47/69</f>
        <v>0.6811594203</v>
      </c>
      <c r="J6" s="24"/>
      <c r="K6" s="24"/>
      <c r="L6" s="24"/>
      <c r="M6" s="24"/>
      <c r="N6" s="24"/>
      <c r="O6" s="24"/>
      <c r="P6" s="24"/>
      <c r="Q6" s="24"/>
      <c r="R6" s="24"/>
    </row>
    <row r="7">
      <c r="A7" s="2" t="s">
        <v>16</v>
      </c>
      <c r="B7" s="24"/>
      <c r="C7" s="24"/>
      <c r="E7" s="25">
        <f>23/62</f>
        <v>0.3709677419</v>
      </c>
      <c r="F7" s="24"/>
      <c r="G7" s="25">
        <f>59/62</f>
        <v>0.9516129032</v>
      </c>
      <c r="H7" s="24"/>
      <c r="I7" s="24"/>
      <c r="J7" s="24"/>
      <c r="K7" s="25">
        <f>43/62</f>
        <v>0.6935483871</v>
      </c>
      <c r="L7" s="24"/>
      <c r="M7" s="24"/>
      <c r="N7" s="24"/>
      <c r="O7" s="24"/>
      <c r="P7" s="24"/>
      <c r="Q7" s="24"/>
      <c r="R7" s="24"/>
    </row>
    <row r="8">
      <c r="A8" s="2" t="s">
        <v>17</v>
      </c>
      <c r="B8" s="24"/>
      <c r="C8" s="24"/>
      <c r="E8" s="24"/>
      <c r="F8" s="24"/>
      <c r="G8" s="25">
        <f>31/64</f>
        <v>0.484375</v>
      </c>
      <c r="H8" s="24"/>
      <c r="I8" s="24"/>
      <c r="J8" s="24"/>
      <c r="K8" s="25">
        <f>35/64</f>
        <v>0.546875</v>
      </c>
      <c r="L8" s="24"/>
      <c r="M8" s="24"/>
      <c r="N8" s="24"/>
      <c r="O8" s="24"/>
      <c r="P8" s="24"/>
      <c r="Q8" s="24"/>
      <c r="R8" s="24"/>
    </row>
    <row r="9">
      <c r="A9" s="2" t="s">
        <v>18</v>
      </c>
      <c r="B9" s="26">
        <f>65/65</f>
        <v>1</v>
      </c>
      <c r="C9" s="24"/>
      <c r="D9" s="25">
        <f>36/65</f>
        <v>0.5538461538</v>
      </c>
      <c r="E9" s="24"/>
      <c r="F9" s="26">
        <f>46/65</f>
        <v>0.7076923077</v>
      </c>
      <c r="G9" s="24"/>
      <c r="H9" s="26">
        <f>40/65</f>
        <v>0.6153846154</v>
      </c>
      <c r="I9" s="26">
        <f>35/65</f>
        <v>0.5384615385</v>
      </c>
      <c r="J9" s="24"/>
      <c r="K9" s="24"/>
      <c r="L9" s="24"/>
      <c r="M9" s="24"/>
      <c r="N9" s="24"/>
      <c r="O9" s="24"/>
      <c r="P9" s="24"/>
      <c r="Q9" s="24"/>
      <c r="R9" s="24"/>
    </row>
    <row r="10">
      <c r="A10" s="2" t="s">
        <v>19</v>
      </c>
      <c r="B10" s="25">
        <f>58/68</f>
        <v>0.8529411765</v>
      </c>
      <c r="C10" s="25">
        <f>68/68</f>
        <v>1</v>
      </c>
      <c r="D10" s="25">
        <f>23/68</f>
        <v>0.3382352941</v>
      </c>
      <c r="E10" s="24"/>
      <c r="F10" s="25">
        <f>48/68</f>
        <v>0.7058823529</v>
      </c>
      <c r="G10" s="24"/>
      <c r="H10" s="25">
        <f>35/68</f>
        <v>0.5147058824</v>
      </c>
      <c r="I10" s="24"/>
      <c r="J10" s="25">
        <f>68/68</f>
        <v>1</v>
      </c>
      <c r="K10" s="24"/>
      <c r="L10" s="25">
        <f>51/68</f>
        <v>0.75</v>
      </c>
      <c r="M10" s="24"/>
      <c r="N10" s="24"/>
      <c r="O10" s="24"/>
      <c r="P10" s="24"/>
      <c r="Q10" s="24"/>
      <c r="R10" s="24"/>
    </row>
    <row r="11">
      <c r="A11" s="2" t="s">
        <v>20</v>
      </c>
      <c r="B11" s="24"/>
      <c r="C11" s="25">
        <f>57/60</f>
        <v>0.95</v>
      </c>
      <c r="D11" s="25">
        <f>20/60</f>
        <v>0.3333333333</v>
      </c>
      <c r="E11" s="24"/>
      <c r="F11" s="25">
        <f>32/60</f>
        <v>0.5333333333</v>
      </c>
      <c r="G11" s="24"/>
      <c r="H11" s="25">
        <f>38/60</f>
        <v>0.6333333333</v>
      </c>
      <c r="I11" s="24"/>
      <c r="J11" s="25">
        <f>60/60</f>
        <v>1</v>
      </c>
      <c r="K11" s="24"/>
      <c r="L11" s="25">
        <f>49/60</f>
        <v>0.8166666667</v>
      </c>
      <c r="M11" s="24"/>
      <c r="N11" s="24"/>
      <c r="O11" s="24"/>
      <c r="P11" s="24"/>
      <c r="Q11" s="24"/>
      <c r="R11" s="24"/>
    </row>
    <row r="12">
      <c r="A12" s="2" t="s">
        <v>21</v>
      </c>
      <c r="B12" s="24"/>
      <c r="C12" s="25">
        <f>57/63</f>
        <v>0.9047619048</v>
      </c>
      <c r="D12" s="25">
        <f>26/63</f>
        <v>0.4126984127</v>
      </c>
      <c r="E12" s="24"/>
      <c r="F12" s="24"/>
      <c r="G12" s="24"/>
      <c r="H12" s="24"/>
      <c r="I12" s="24"/>
      <c r="J12" s="24"/>
      <c r="K12" s="24"/>
      <c r="L12" s="25">
        <f>44/63</f>
        <v>0.6984126984</v>
      </c>
      <c r="M12" s="24"/>
      <c r="N12" s="24"/>
      <c r="O12" s="24"/>
      <c r="P12" s="24"/>
      <c r="Q12" s="24"/>
      <c r="R12" s="24"/>
    </row>
    <row r="13">
      <c r="A13" s="2" t="s">
        <v>22</v>
      </c>
      <c r="B13" s="25">
        <f>57/64</f>
        <v>0.890625</v>
      </c>
      <c r="C13" s="24"/>
      <c r="D13" s="25">
        <f>22/64</f>
        <v>0.34375</v>
      </c>
      <c r="E13" s="24"/>
      <c r="F13" s="25">
        <f>53/64</f>
        <v>0.828125</v>
      </c>
      <c r="G13" s="24"/>
      <c r="H13" s="25">
        <f>33/64</f>
        <v>0.515625</v>
      </c>
      <c r="I13" s="24"/>
      <c r="J13" s="25">
        <f>64/64</f>
        <v>1</v>
      </c>
      <c r="K13" s="24"/>
      <c r="L13" s="24"/>
      <c r="M13" s="24"/>
      <c r="N13" s="24"/>
      <c r="O13" s="24"/>
      <c r="P13" s="24"/>
      <c r="Q13" s="24"/>
      <c r="R13" s="24"/>
    </row>
    <row r="14">
      <c r="A14" s="2" t="s">
        <v>23</v>
      </c>
      <c r="B14" s="24"/>
      <c r="C14" s="24"/>
      <c r="E14" s="24"/>
      <c r="F14" s="25">
        <f>44/64</f>
        <v>0.6875</v>
      </c>
      <c r="G14" s="24"/>
      <c r="H14" s="25">
        <f>31/64</f>
        <v>0.484375</v>
      </c>
      <c r="I14" s="24"/>
      <c r="J14" s="25">
        <f>47/64</f>
        <v>0.734375</v>
      </c>
      <c r="K14" s="24"/>
      <c r="L14" s="24"/>
      <c r="M14" s="24"/>
      <c r="N14" s="24"/>
      <c r="O14" s="24"/>
      <c r="P14" s="24"/>
      <c r="Q14" s="24"/>
      <c r="R14" s="24"/>
    </row>
    <row r="15">
      <c r="A15" s="2" t="s">
        <v>24</v>
      </c>
      <c r="B15" s="24"/>
      <c r="C15" s="25">
        <f>60/60</f>
        <v>1</v>
      </c>
      <c r="D15" s="25">
        <f>23/60</f>
        <v>0.3833333333</v>
      </c>
      <c r="E15" s="24"/>
      <c r="F15" s="24"/>
      <c r="G15" s="24"/>
      <c r="H15" s="24"/>
      <c r="I15" s="24"/>
      <c r="J15" s="25">
        <f>60/60</f>
        <v>1</v>
      </c>
      <c r="K15" s="24"/>
      <c r="L15" s="25">
        <f>60/60</f>
        <v>1</v>
      </c>
      <c r="M15" s="24"/>
      <c r="N15" s="24"/>
      <c r="O15" s="24"/>
    </row>
    <row r="16">
      <c r="A16" s="2" t="s">
        <v>25</v>
      </c>
      <c r="B16" s="26">
        <f>27/64</f>
        <v>0.421875</v>
      </c>
      <c r="C16" s="26">
        <f>26/64</f>
        <v>0.40625</v>
      </c>
      <c r="D16" s="26">
        <f>17/64</f>
        <v>0.265625</v>
      </c>
      <c r="E16" s="24"/>
      <c r="F16" s="26">
        <f>24/64</f>
        <v>0.375</v>
      </c>
      <c r="G16" s="24"/>
      <c r="H16" s="26">
        <f>27/64</f>
        <v>0.421875</v>
      </c>
      <c r="I16" s="24"/>
      <c r="J16" s="25">
        <f>33/64</f>
        <v>0.515625</v>
      </c>
      <c r="K16" s="24"/>
      <c r="L16" s="25">
        <f>36/64</f>
        <v>0.5625</v>
      </c>
      <c r="M16" s="24"/>
      <c r="N16" s="24"/>
      <c r="O16" s="24"/>
    </row>
    <row r="17">
      <c r="A17" s="2" t="s">
        <v>26</v>
      </c>
      <c r="B17" s="24"/>
      <c r="C17" s="24"/>
      <c r="E17" s="24"/>
      <c r="F17" s="24"/>
      <c r="G17" s="25">
        <f>35/63</f>
        <v>0.5555555556</v>
      </c>
      <c r="H17" s="24"/>
      <c r="I17" s="24"/>
      <c r="J17" s="24"/>
      <c r="K17" s="25">
        <f>42/63</f>
        <v>0.6666666667</v>
      </c>
      <c r="L17" s="25">
        <f>38/63</f>
        <v>0.6031746032</v>
      </c>
      <c r="M17" s="24"/>
      <c r="N17" s="24"/>
      <c r="O17" s="24"/>
    </row>
    <row r="18">
      <c r="A18" s="8" t="s">
        <v>27</v>
      </c>
      <c r="B18" s="27">
        <f t="shared" ref="B18:L18" si="1">MAX(B3:B17)</f>
        <v>1</v>
      </c>
      <c r="C18" s="27">
        <f t="shared" si="1"/>
        <v>1</v>
      </c>
      <c r="D18" s="27">
        <f t="shared" si="1"/>
        <v>0.5538461538</v>
      </c>
      <c r="E18" s="27">
        <f t="shared" si="1"/>
        <v>0.3846153846</v>
      </c>
      <c r="F18" s="27">
        <f t="shared" si="1"/>
        <v>0.828125</v>
      </c>
      <c r="G18" s="27">
        <f t="shared" si="1"/>
        <v>0.9516129032</v>
      </c>
      <c r="H18" s="27">
        <f t="shared" si="1"/>
        <v>0.6333333333</v>
      </c>
      <c r="I18" s="27">
        <f t="shared" si="1"/>
        <v>0.7826086957</v>
      </c>
      <c r="J18" s="27">
        <f t="shared" si="1"/>
        <v>1</v>
      </c>
      <c r="K18" s="27">
        <f t="shared" si="1"/>
        <v>0.6935483871</v>
      </c>
      <c r="L18" s="27">
        <f t="shared" si="1"/>
        <v>1</v>
      </c>
      <c r="M18" s="24"/>
      <c r="N18" s="24"/>
      <c r="O18" s="24"/>
    </row>
    <row r="19">
      <c r="A19" s="10" t="s">
        <v>28</v>
      </c>
      <c r="B19" s="27">
        <f t="shared" ref="B19:L19" si="2">QUARTILE(B3:B17, 3)</f>
        <v>0.8717830882</v>
      </c>
      <c r="C19" s="27">
        <f t="shared" si="2"/>
        <v>0.9875</v>
      </c>
      <c r="D19" s="27">
        <f t="shared" si="2"/>
        <v>0.3906746032</v>
      </c>
      <c r="E19" s="27">
        <f t="shared" si="2"/>
        <v>0.3812034739</v>
      </c>
      <c r="F19" s="27">
        <f t="shared" si="2"/>
        <v>0.7067873303</v>
      </c>
      <c r="G19" s="27">
        <f t="shared" si="2"/>
        <v>0.7535842294</v>
      </c>
      <c r="H19" s="27">
        <f t="shared" si="2"/>
        <v>0.5886287625</v>
      </c>
      <c r="I19" s="27">
        <f t="shared" si="2"/>
        <v>0.731884058</v>
      </c>
      <c r="J19" s="27">
        <f t="shared" si="2"/>
        <v>1</v>
      </c>
      <c r="K19" s="27">
        <f t="shared" si="2"/>
        <v>0.6733870968</v>
      </c>
      <c r="L19" s="27">
        <f t="shared" si="2"/>
        <v>0.8</v>
      </c>
      <c r="M19" s="24"/>
      <c r="N19" s="24"/>
      <c r="O19" s="24"/>
    </row>
    <row r="20">
      <c r="A20" s="8" t="s">
        <v>29</v>
      </c>
      <c r="B20" s="27">
        <f t="shared" ref="B20:L20" si="3">MEDIAN(B3:B17)</f>
        <v>0.7536231884</v>
      </c>
      <c r="C20" s="27">
        <f t="shared" si="3"/>
        <v>0.9273809524</v>
      </c>
      <c r="D20" s="27">
        <f t="shared" si="3"/>
        <v>0.3409926471</v>
      </c>
      <c r="E20" s="27">
        <f t="shared" si="3"/>
        <v>0.3777915633</v>
      </c>
      <c r="F20" s="27">
        <f t="shared" si="3"/>
        <v>0.7049180328</v>
      </c>
      <c r="G20" s="27">
        <f t="shared" si="3"/>
        <v>0.5555555556</v>
      </c>
      <c r="H20" s="27">
        <f t="shared" si="3"/>
        <v>0.5151654412</v>
      </c>
      <c r="I20" s="27">
        <f t="shared" si="3"/>
        <v>0.6811594203</v>
      </c>
      <c r="J20" s="27">
        <f t="shared" si="3"/>
        <v>1</v>
      </c>
      <c r="K20" s="27">
        <f t="shared" si="3"/>
        <v>0.6067708333</v>
      </c>
      <c r="L20" s="27">
        <f t="shared" si="3"/>
        <v>0.7242063492</v>
      </c>
      <c r="M20" s="24">
        <f>MEDIAN(B20:L20)</f>
        <v>0.6811594203</v>
      </c>
    </row>
    <row r="21">
      <c r="A21" s="8" t="s">
        <v>30</v>
      </c>
      <c r="B21" s="27">
        <f t="shared" ref="B21:L21" si="4">QUARTILE(B3:B17, 1)</f>
        <v>0.623663578</v>
      </c>
      <c r="C21" s="27">
        <f t="shared" si="4"/>
        <v>0.8409445746</v>
      </c>
      <c r="D21" s="27">
        <f t="shared" si="4"/>
        <v>0.3196721311</v>
      </c>
      <c r="E21" s="27">
        <f t="shared" si="4"/>
        <v>0.3743796526</v>
      </c>
      <c r="F21" s="27">
        <f t="shared" si="4"/>
        <v>0.6104166667</v>
      </c>
      <c r="G21" s="27">
        <f t="shared" si="4"/>
        <v>0.5199652778</v>
      </c>
      <c r="H21" s="27">
        <f t="shared" si="4"/>
        <v>0.502241291</v>
      </c>
      <c r="I21" s="27">
        <f t="shared" si="4"/>
        <v>0.6098104794</v>
      </c>
      <c r="J21" s="27">
        <f t="shared" si="4"/>
        <v>0.8671875</v>
      </c>
      <c r="K21" s="27">
        <f t="shared" si="4"/>
        <v>0.5178485577</v>
      </c>
      <c r="L21" s="27">
        <f t="shared" si="4"/>
        <v>0.626984127</v>
      </c>
      <c r="M21" s="24"/>
    </row>
    <row r="22">
      <c r="A22" s="8" t="s">
        <v>31</v>
      </c>
      <c r="B22" s="27">
        <f t="shared" ref="B22:L22" si="5">MIN(B3:B17)</f>
        <v>0.421875</v>
      </c>
      <c r="C22" s="27">
        <f t="shared" si="5"/>
        <v>0.40625</v>
      </c>
      <c r="D22" s="27">
        <f t="shared" si="5"/>
        <v>0.265625</v>
      </c>
      <c r="E22" s="27">
        <f t="shared" si="5"/>
        <v>0.3709677419</v>
      </c>
      <c r="F22" s="27">
        <f t="shared" si="5"/>
        <v>0.375</v>
      </c>
      <c r="G22" s="27">
        <f t="shared" si="5"/>
        <v>0.484375</v>
      </c>
      <c r="H22" s="27">
        <f t="shared" si="5"/>
        <v>0.421875</v>
      </c>
      <c r="I22" s="27">
        <f t="shared" si="5"/>
        <v>0.5384615385</v>
      </c>
      <c r="J22" s="27">
        <f t="shared" si="5"/>
        <v>0.515625</v>
      </c>
      <c r="K22" s="27">
        <f t="shared" si="5"/>
        <v>0.4307692308</v>
      </c>
      <c r="L22" s="27">
        <f t="shared" si="5"/>
        <v>0.5625</v>
      </c>
      <c r="M22" s="24"/>
    </row>
    <row r="23">
      <c r="M23" s="24"/>
    </row>
    <row r="24">
      <c r="M24" s="24"/>
    </row>
    <row r="25">
      <c r="M25" s="24"/>
    </row>
    <row r="26">
      <c r="M26" s="24"/>
    </row>
    <row r="27">
      <c r="M27" s="24"/>
    </row>
    <row r="28">
      <c r="M28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0"/>
    <col customWidth="1" min="9" max="9" width="14.75"/>
  </cols>
  <sheetData>
    <row r="1">
      <c r="B1" s="1" t="s">
        <v>0</v>
      </c>
      <c r="C1" s="2" t="s">
        <v>1</v>
      </c>
      <c r="D1" s="3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4"/>
    </row>
    <row r="2">
      <c r="A2" s="3" t="s">
        <v>11</v>
      </c>
      <c r="B2" s="25">
        <v>1.0</v>
      </c>
      <c r="C2" s="25">
        <v>1.0</v>
      </c>
      <c r="D2" s="25">
        <v>1.0</v>
      </c>
      <c r="E2" s="25">
        <v>1.0</v>
      </c>
      <c r="F2" s="25">
        <v>1.0</v>
      </c>
      <c r="G2" s="25">
        <v>1.0</v>
      </c>
      <c r="H2" s="25">
        <v>1.0</v>
      </c>
      <c r="I2" s="25">
        <v>1.0</v>
      </c>
      <c r="J2" s="25">
        <v>1.0</v>
      </c>
      <c r="K2" s="25">
        <v>1.0</v>
      </c>
      <c r="L2" s="25">
        <v>1.0</v>
      </c>
      <c r="M2" s="24"/>
      <c r="N2" s="24"/>
      <c r="O2" s="24"/>
    </row>
    <row r="3">
      <c r="A3" s="2" t="s">
        <v>12</v>
      </c>
      <c r="B3" s="24"/>
      <c r="C3" s="24"/>
      <c r="E3" s="25">
        <f>25/65</f>
        <v>0.3846153846</v>
      </c>
      <c r="F3" s="24"/>
      <c r="G3" s="24"/>
      <c r="H3" s="24"/>
      <c r="I3" s="24"/>
      <c r="J3" s="24"/>
      <c r="K3" s="25">
        <f>28/65</f>
        <v>0.4307692308</v>
      </c>
      <c r="L3" s="24"/>
      <c r="M3" s="24"/>
      <c r="N3" s="24"/>
      <c r="O3" s="24"/>
      <c r="P3" s="24"/>
      <c r="Q3" s="24"/>
      <c r="R3" s="24"/>
    </row>
    <row r="4">
      <c r="A4" s="2" t="s">
        <v>13</v>
      </c>
      <c r="B4" s="25">
        <f>51/69</f>
        <v>0.7391304348</v>
      </c>
      <c r="C4" s="24"/>
      <c r="E4" s="24"/>
      <c r="F4" s="24"/>
      <c r="G4" s="24"/>
      <c r="H4" s="25">
        <f>40/69</f>
        <v>0.5797101449</v>
      </c>
      <c r="I4" s="25">
        <f>69/69</f>
        <v>1</v>
      </c>
      <c r="J4" s="24"/>
      <c r="K4" s="24"/>
      <c r="L4" s="24"/>
      <c r="M4" s="24"/>
      <c r="N4" s="24"/>
      <c r="O4" s="24"/>
      <c r="P4" s="24"/>
      <c r="Q4" s="24"/>
      <c r="R4" s="24"/>
    </row>
    <row r="5">
      <c r="A5" s="2" t="s">
        <v>14</v>
      </c>
      <c r="B5" s="25">
        <f>31/61</f>
        <v>0.5081967213</v>
      </c>
      <c r="C5" s="25">
        <f>50/61</f>
        <v>0.8196721311</v>
      </c>
      <c r="D5" s="25">
        <f>17/61</f>
        <v>0.2786885246</v>
      </c>
      <c r="E5" s="24"/>
      <c r="F5" s="25">
        <f>43/61</f>
        <v>0.7049180328</v>
      </c>
      <c r="G5" s="24"/>
      <c r="H5" s="25">
        <f>31/61</f>
        <v>0.5081967213</v>
      </c>
      <c r="I5" s="24"/>
      <c r="J5" s="25">
        <f>61/61</f>
        <v>1</v>
      </c>
      <c r="K5" s="24"/>
      <c r="L5" s="24"/>
      <c r="M5" s="24"/>
      <c r="N5" s="24"/>
      <c r="O5" s="24"/>
      <c r="P5" s="24"/>
      <c r="Q5" s="24"/>
      <c r="R5" s="24"/>
    </row>
    <row r="6">
      <c r="A6" s="2" t="s">
        <v>15</v>
      </c>
      <c r="B6" s="25">
        <f>52/69</f>
        <v>0.7536231884</v>
      </c>
      <c r="C6" s="24"/>
      <c r="E6" s="24"/>
      <c r="F6" s="24"/>
      <c r="G6" s="24"/>
      <c r="H6" s="24"/>
      <c r="I6" s="25">
        <f>62/69</f>
        <v>0.8985507246</v>
      </c>
      <c r="J6" s="24"/>
      <c r="K6" s="24"/>
      <c r="L6" s="24"/>
      <c r="M6" s="24"/>
      <c r="N6" s="24"/>
      <c r="O6" s="24"/>
      <c r="P6" s="24"/>
      <c r="Q6" s="24"/>
      <c r="R6" s="24"/>
    </row>
    <row r="7">
      <c r="A7" s="2" t="s">
        <v>16</v>
      </c>
      <c r="B7" s="24"/>
      <c r="C7" s="24"/>
      <c r="E7" s="25">
        <f>23/62</f>
        <v>0.3709677419</v>
      </c>
      <c r="F7" s="24"/>
      <c r="G7" s="25">
        <f>59/62</f>
        <v>0.9516129032</v>
      </c>
      <c r="H7" s="24"/>
      <c r="I7" s="24"/>
      <c r="J7" s="24"/>
      <c r="K7" s="25">
        <f>43/62</f>
        <v>0.6935483871</v>
      </c>
      <c r="L7" s="24"/>
      <c r="M7" s="24"/>
      <c r="N7" s="24"/>
      <c r="O7" s="24"/>
      <c r="P7" s="24"/>
      <c r="Q7" s="24"/>
      <c r="R7" s="24"/>
    </row>
    <row r="8">
      <c r="A8" s="2" t="s">
        <v>17</v>
      </c>
      <c r="B8" s="24"/>
      <c r="C8" s="24"/>
      <c r="E8" s="24"/>
      <c r="F8" s="24"/>
      <c r="G8" s="25">
        <f>35/64</f>
        <v>0.546875</v>
      </c>
      <c r="H8" s="24"/>
      <c r="I8" s="24"/>
      <c r="J8" s="24"/>
      <c r="K8" s="25">
        <f>35/64</f>
        <v>0.546875</v>
      </c>
      <c r="L8" s="24"/>
      <c r="M8" s="24"/>
      <c r="N8" s="24"/>
      <c r="O8" s="24"/>
      <c r="P8" s="24"/>
      <c r="Q8" s="24"/>
      <c r="R8" s="24"/>
    </row>
    <row r="9">
      <c r="A9" s="2" t="s">
        <v>18</v>
      </c>
      <c r="B9" s="26">
        <f>65/65</f>
        <v>1</v>
      </c>
      <c r="C9" s="24"/>
      <c r="D9" s="25">
        <f>36/65</f>
        <v>0.5538461538</v>
      </c>
      <c r="E9" s="24"/>
      <c r="F9" s="26">
        <f>47/65</f>
        <v>0.7230769231</v>
      </c>
      <c r="G9" s="24"/>
      <c r="H9" s="26">
        <f>40/65</f>
        <v>0.6153846154</v>
      </c>
      <c r="I9" s="26">
        <f>32/65</f>
        <v>0.4923076923</v>
      </c>
      <c r="J9" s="24"/>
      <c r="K9" s="24"/>
      <c r="L9" s="24"/>
      <c r="M9" s="24"/>
      <c r="N9" s="24"/>
      <c r="O9" s="24"/>
      <c r="P9" s="24"/>
      <c r="Q9" s="24"/>
      <c r="R9" s="24"/>
    </row>
    <row r="10">
      <c r="A10" s="2" t="s">
        <v>19</v>
      </c>
      <c r="B10" s="25">
        <f>58/68</f>
        <v>0.8529411765</v>
      </c>
      <c r="C10" s="25">
        <f>68/68</f>
        <v>1</v>
      </c>
      <c r="D10" s="25">
        <f>23/68</f>
        <v>0.3382352941</v>
      </c>
      <c r="E10" s="24"/>
      <c r="F10" s="25">
        <f>44/68</f>
        <v>0.6470588235</v>
      </c>
      <c r="G10" s="24"/>
      <c r="H10" s="25">
        <f>35/68</f>
        <v>0.5147058824</v>
      </c>
      <c r="I10" s="24"/>
      <c r="J10" s="25">
        <f>68/68</f>
        <v>1</v>
      </c>
      <c r="K10" s="24"/>
      <c r="L10" s="25">
        <f>51/68</f>
        <v>0.75</v>
      </c>
      <c r="M10" s="24"/>
      <c r="N10" s="24"/>
      <c r="O10" s="24"/>
      <c r="P10" s="24"/>
      <c r="Q10" s="24"/>
      <c r="R10" s="24"/>
    </row>
    <row r="11">
      <c r="A11" s="2" t="s">
        <v>20</v>
      </c>
      <c r="B11" s="24"/>
      <c r="C11" s="25">
        <f>57/60</f>
        <v>0.95</v>
      </c>
      <c r="D11" s="25">
        <f>20/60</f>
        <v>0.3333333333</v>
      </c>
      <c r="E11" s="24"/>
      <c r="F11" s="25">
        <f>32/60</f>
        <v>0.5333333333</v>
      </c>
      <c r="G11" s="24"/>
      <c r="H11" s="25">
        <f>38/60</f>
        <v>0.6333333333</v>
      </c>
      <c r="I11" s="24"/>
      <c r="J11" s="25">
        <f>60/60</f>
        <v>1</v>
      </c>
      <c r="K11" s="24"/>
      <c r="L11" s="25">
        <f>49/60</f>
        <v>0.8166666667</v>
      </c>
      <c r="M11" s="24"/>
      <c r="N11" s="24"/>
      <c r="O11" s="24"/>
      <c r="P11" s="24"/>
      <c r="Q11" s="24"/>
      <c r="R11" s="24"/>
    </row>
    <row r="12">
      <c r="A12" s="2" t="s">
        <v>21</v>
      </c>
      <c r="B12" s="24"/>
      <c r="C12" s="25">
        <f>56/63</f>
        <v>0.8888888889</v>
      </c>
      <c r="D12" s="25">
        <f>26/63</f>
        <v>0.4126984127</v>
      </c>
      <c r="E12" s="24"/>
      <c r="F12" s="24"/>
      <c r="G12" s="24"/>
      <c r="H12" s="24"/>
      <c r="I12" s="24"/>
      <c r="J12" s="24"/>
      <c r="K12" s="24"/>
      <c r="L12" s="25">
        <f>44/63</f>
        <v>0.6984126984</v>
      </c>
      <c r="M12" s="24"/>
      <c r="N12" s="24"/>
      <c r="O12" s="24"/>
      <c r="P12" s="24"/>
      <c r="Q12" s="24"/>
      <c r="R12" s="24"/>
    </row>
    <row r="13">
      <c r="A13" s="2" t="s">
        <v>22</v>
      </c>
      <c r="B13" s="25">
        <f>57/64</f>
        <v>0.890625</v>
      </c>
      <c r="C13" s="24"/>
      <c r="D13" s="25">
        <f>28/64</f>
        <v>0.4375</v>
      </c>
      <c r="E13" s="24"/>
      <c r="F13" s="25">
        <f>53/64</f>
        <v>0.828125</v>
      </c>
      <c r="G13" s="24"/>
      <c r="H13" s="25">
        <f>33/64</f>
        <v>0.515625</v>
      </c>
      <c r="I13" s="24"/>
      <c r="J13" s="25">
        <f>64/64</f>
        <v>1</v>
      </c>
      <c r="K13" s="24"/>
      <c r="L13" s="24"/>
      <c r="M13" s="24"/>
      <c r="N13" s="24"/>
      <c r="O13" s="24"/>
      <c r="P13" s="24"/>
      <c r="Q13" s="24"/>
      <c r="R13" s="24"/>
    </row>
    <row r="14">
      <c r="A14" s="2" t="s">
        <v>23</v>
      </c>
      <c r="B14" s="24"/>
      <c r="C14" s="24"/>
      <c r="E14" s="24"/>
      <c r="F14" s="25">
        <f>44/64</f>
        <v>0.6875</v>
      </c>
      <c r="G14" s="24"/>
      <c r="H14" s="25">
        <f>31/64</f>
        <v>0.484375</v>
      </c>
      <c r="I14" s="24"/>
      <c r="J14" s="25">
        <f>47/64</f>
        <v>0.734375</v>
      </c>
      <c r="K14" s="24"/>
      <c r="L14" s="24"/>
      <c r="M14" s="24"/>
      <c r="N14" s="24"/>
      <c r="O14" s="24"/>
      <c r="P14" s="24"/>
      <c r="Q14" s="24"/>
      <c r="R14" s="24"/>
    </row>
    <row r="15">
      <c r="A15" s="2" t="s">
        <v>24</v>
      </c>
      <c r="B15" s="24"/>
      <c r="C15" s="25">
        <f>60/60</f>
        <v>1</v>
      </c>
      <c r="D15" s="25">
        <f>31/60</f>
        <v>0.5166666667</v>
      </c>
      <c r="E15" s="24"/>
      <c r="F15" s="24"/>
      <c r="G15" s="24"/>
      <c r="H15" s="24"/>
      <c r="I15" s="24"/>
      <c r="J15" s="25">
        <f>60/60</f>
        <v>1</v>
      </c>
      <c r="K15" s="24"/>
      <c r="L15" s="25">
        <f>60/60</f>
        <v>1</v>
      </c>
      <c r="M15" s="24"/>
      <c r="N15" s="24"/>
      <c r="O15" s="24"/>
    </row>
    <row r="16">
      <c r="A16" s="2" t="s">
        <v>25</v>
      </c>
      <c r="B16" s="26">
        <f>27/64</f>
        <v>0.421875</v>
      </c>
      <c r="C16" s="26">
        <f>26/64</f>
        <v>0.40625</v>
      </c>
      <c r="D16" s="26">
        <f>23/64</f>
        <v>0.359375</v>
      </c>
      <c r="E16" s="24"/>
      <c r="F16" s="26">
        <f>27/64</f>
        <v>0.421875</v>
      </c>
      <c r="G16" s="24"/>
      <c r="H16" s="26">
        <f>27/64</f>
        <v>0.421875</v>
      </c>
      <c r="I16" s="24"/>
      <c r="J16" s="25">
        <f>33/64</f>
        <v>0.515625</v>
      </c>
      <c r="K16" s="24"/>
      <c r="L16" s="25">
        <f>36/64</f>
        <v>0.5625</v>
      </c>
      <c r="M16" s="24"/>
      <c r="N16" s="24"/>
      <c r="O16" s="24"/>
    </row>
    <row r="17">
      <c r="A17" s="2" t="s">
        <v>26</v>
      </c>
      <c r="B17" s="24"/>
      <c r="C17" s="24"/>
      <c r="E17" s="24"/>
      <c r="F17" s="24"/>
      <c r="G17" s="25">
        <f>35/63</f>
        <v>0.5555555556</v>
      </c>
      <c r="H17" s="24"/>
      <c r="I17" s="24"/>
      <c r="J17" s="24"/>
      <c r="K17" s="25">
        <f>42/63</f>
        <v>0.6666666667</v>
      </c>
      <c r="L17" s="25">
        <f>38/63</f>
        <v>0.6031746032</v>
      </c>
      <c r="M17" s="24"/>
      <c r="N17" s="24"/>
      <c r="O17" s="24"/>
    </row>
    <row r="18">
      <c r="A18" s="8" t="s">
        <v>27</v>
      </c>
      <c r="B18" s="27">
        <f t="shared" ref="B18:L18" si="1">MAX(B3:B17)</f>
        <v>1</v>
      </c>
      <c r="C18" s="27">
        <f t="shared" si="1"/>
        <v>1</v>
      </c>
      <c r="D18" s="27">
        <f t="shared" si="1"/>
        <v>0.5538461538</v>
      </c>
      <c r="E18" s="27">
        <f t="shared" si="1"/>
        <v>0.3846153846</v>
      </c>
      <c r="F18" s="27">
        <f t="shared" si="1"/>
        <v>0.828125</v>
      </c>
      <c r="G18" s="27">
        <f t="shared" si="1"/>
        <v>0.9516129032</v>
      </c>
      <c r="H18" s="27">
        <f t="shared" si="1"/>
        <v>0.6333333333</v>
      </c>
      <c r="I18" s="27">
        <f t="shared" si="1"/>
        <v>1</v>
      </c>
      <c r="J18" s="27">
        <f t="shared" si="1"/>
        <v>1</v>
      </c>
      <c r="K18" s="27">
        <f t="shared" si="1"/>
        <v>0.6935483871</v>
      </c>
      <c r="L18" s="27">
        <f t="shared" si="1"/>
        <v>1</v>
      </c>
      <c r="M18" s="24"/>
      <c r="N18" s="24"/>
      <c r="O18" s="24"/>
    </row>
    <row r="19">
      <c r="A19" s="10" t="s">
        <v>28</v>
      </c>
      <c r="B19" s="27">
        <f t="shared" ref="B19:L19" si="2">QUARTILE(B3:B17, 3)</f>
        <v>0.8717830882</v>
      </c>
      <c r="C19" s="27">
        <f t="shared" si="2"/>
        <v>0.9875</v>
      </c>
      <c r="D19" s="27">
        <f t="shared" si="2"/>
        <v>0.4572916667</v>
      </c>
      <c r="E19" s="27">
        <f t="shared" si="2"/>
        <v>0.3812034739</v>
      </c>
      <c r="F19" s="27">
        <f t="shared" si="2"/>
        <v>0.7139974779</v>
      </c>
      <c r="G19" s="27">
        <f t="shared" si="2"/>
        <v>0.7535842294</v>
      </c>
      <c r="H19" s="27">
        <f t="shared" si="2"/>
        <v>0.5886287625</v>
      </c>
      <c r="I19" s="27">
        <f t="shared" si="2"/>
        <v>0.9492753623</v>
      </c>
      <c r="J19" s="27">
        <f t="shared" si="2"/>
        <v>1</v>
      </c>
      <c r="K19" s="27">
        <f t="shared" si="2"/>
        <v>0.6733870968</v>
      </c>
      <c r="L19" s="27">
        <f t="shared" si="2"/>
        <v>0.8</v>
      </c>
      <c r="M19" s="24"/>
      <c r="N19" s="24"/>
      <c r="O19" s="24"/>
    </row>
    <row r="20">
      <c r="A20" s="8" t="s">
        <v>29</v>
      </c>
      <c r="B20" s="27">
        <f t="shared" ref="B20:L20" si="3">MEDIAN(B3:B17)</f>
        <v>0.7536231884</v>
      </c>
      <c r="C20" s="27">
        <f t="shared" si="3"/>
        <v>0.9194444444</v>
      </c>
      <c r="D20" s="27">
        <f t="shared" si="3"/>
        <v>0.3860367063</v>
      </c>
      <c r="E20" s="27">
        <f t="shared" si="3"/>
        <v>0.3777915633</v>
      </c>
      <c r="F20" s="27">
        <f t="shared" si="3"/>
        <v>0.6875</v>
      </c>
      <c r="G20" s="27">
        <f t="shared" si="3"/>
        <v>0.5555555556</v>
      </c>
      <c r="H20" s="27">
        <f t="shared" si="3"/>
        <v>0.5151654412</v>
      </c>
      <c r="I20" s="27">
        <f t="shared" si="3"/>
        <v>0.8985507246</v>
      </c>
      <c r="J20" s="27">
        <f t="shared" si="3"/>
        <v>1</v>
      </c>
      <c r="K20" s="27">
        <f t="shared" si="3"/>
        <v>0.6067708333</v>
      </c>
      <c r="L20" s="27">
        <f t="shared" si="3"/>
        <v>0.7242063492</v>
      </c>
      <c r="M20" s="24">
        <f>MEDIAN(B20:L20)</f>
        <v>0.6875</v>
      </c>
    </row>
    <row r="21">
      <c r="A21" s="8" t="s">
        <v>30</v>
      </c>
      <c r="B21" s="27">
        <f t="shared" ref="B21:L21" si="4">QUARTILE(B3:B17, 1)</f>
        <v>0.623663578</v>
      </c>
      <c r="C21" s="27">
        <f t="shared" si="4"/>
        <v>0.8369763206</v>
      </c>
      <c r="D21" s="27">
        <f t="shared" si="4"/>
        <v>0.3370098039</v>
      </c>
      <c r="E21" s="27">
        <f t="shared" si="4"/>
        <v>0.3743796526</v>
      </c>
      <c r="F21" s="27">
        <f t="shared" si="4"/>
        <v>0.5901960784</v>
      </c>
      <c r="G21" s="27">
        <f t="shared" si="4"/>
        <v>0.5512152778</v>
      </c>
      <c r="H21" s="27">
        <f t="shared" si="4"/>
        <v>0.502241291</v>
      </c>
      <c r="I21" s="27">
        <f t="shared" si="4"/>
        <v>0.6954292085</v>
      </c>
      <c r="J21" s="27">
        <f t="shared" si="4"/>
        <v>0.8671875</v>
      </c>
      <c r="K21" s="27">
        <f t="shared" si="4"/>
        <v>0.5178485577</v>
      </c>
      <c r="L21" s="27">
        <f t="shared" si="4"/>
        <v>0.626984127</v>
      </c>
      <c r="M21" s="24"/>
    </row>
    <row r="22">
      <c r="A22" s="8" t="s">
        <v>31</v>
      </c>
      <c r="B22" s="27">
        <f t="shared" ref="B22:L22" si="5">MIN(B3:B17)</f>
        <v>0.421875</v>
      </c>
      <c r="C22" s="27">
        <f t="shared" si="5"/>
        <v>0.40625</v>
      </c>
      <c r="D22" s="27">
        <f t="shared" si="5"/>
        <v>0.2786885246</v>
      </c>
      <c r="E22" s="27">
        <f t="shared" si="5"/>
        <v>0.3709677419</v>
      </c>
      <c r="F22" s="27">
        <f t="shared" si="5"/>
        <v>0.421875</v>
      </c>
      <c r="G22" s="27">
        <f t="shared" si="5"/>
        <v>0.546875</v>
      </c>
      <c r="H22" s="27">
        <f t="shared" si="5"/>
        <v>0.421875</v>
      </c>
      <c r="I22" s="27">
        <f t="shared" si="5"/>
        <v>0.4923076923</v>
      </c>
      <c r="J22" s="27">
        <f t="shared" si="5"/>
        <v>0.515625</v>
      </c>
      <c r="K22" s="27">
        <f t="shared" si="5"/>
        <v>0.4307692308</v>
      </c>
      <c r="L22" s="27">
        <f t="shared" si="5"/>
        <v>0.5625</v>
      </c>
      <c r="M22" s="24"/>
    </row>
    <row r="23">
      <c r="M23" s="24"/>
    </row>
    <row r="24">
      <c r="M24" s="24"/>
    </row>
    <row r="25">
      <c r="M25" s="24"/>
    </row>
    <row r="26">
      <c r="M26" s="24"/>
    </row>
    <row r="27">
      <c r="M27" s="24"/>
    </row>
    <row r="28">
      <c r="M28" s="24"/>
    </row>
  </sheetData>
  <drawing r:id="rId2"/>
  <legacyDrawing r:id="rId3"/>
</worksheet>
</file>